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wwli-2\Desktop\小分子中文验证报告测试\NS25315BV01\"/>
    </mc:Choice>
  </mc:AlternateContent>
  <xr:revisionPtr revIDLastSave="0" documentId="13_ncr:1_{F1FED314-87B6-4A64-A302-89A8FBD452BE}" xr6:coauthVersionLast="47" xr6:coauthVersionMax="47" xr10:uidLastSave="{00000000-0000-0000-0000-000000000000}"/>
  <bookViews>
    <workbookView xWindow="-98" yWindow="-98" windowWidth="21795" windowHeight="13096" tabRatio="852" xr2:uid="{00000000-000D-0000-FFFF-FFFF00000000}"/>
  </bookViews>
  <sheets>
    <sheet name="表4_Selectivity" sheetId="11" r:id="rId1"/>
    <sheet name="表5_特异性" sheetId="31" r:id="rId2"/>
    <sheet name="表6_ME" sheetId="47" r:id="rId3"/>
    <sheet name="表9_Inter QC" sheetId="15" r:id="rId4"/>
    <sheet name="表11_Recovery" sheetId="48" r:id="rId5"/>
    <sheet name="表12_IS Recov" sheetId="17" r:id="rId6"/>
    <sheet name="表13_Dilution" sheetId="18" r:id="rId7"/>
    <sheet name="表18_ST" sheetId="24" r:id="rId8"/>
    <sheet name="表19_FT" sheetId="23" r:id="rId9"/>
    <sheet name="表20_PSS" sheetId="25" r:id="rId10"/>
    <sheet name="表22_Blood" sheetId="26" r:id="rId11"/>
    <sheet name="表23_溶血效应" sheetId="30" r:id="rId12"/>
  </sheets>
  <definedNames>
    <definedName name="_xlnm._FilterDatabase" localSheetId="2" hidden="1">表6_ME!$A$8:$GY$62</definedName>
    <definedName name="_xlnm.Print_Area" localSheetId="4">表11_Recovery!$A$1:$J$35</definedName>
    <definedName name="_xlnm.Print_Area" localSheetId="5">'表12_IS Recov'!$A$1:$D$31</definedName>
    <definedName name="_xlnm.Print_Area" localSheetId="8">表19_FT!$A$1:$G$38</definedName>
    <definedName name="_xlnm.Print_Area" localSheetId="2">表6_ME!$A$1:$K$66</definedName>
    <definedName name="_xlnm.Print_Area" localSheetId="3">'表9_Inter QC'!$A$1:$Q$127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6" i="48" l="1"/>
  <c r="T66" i="48"/>
  <c r="S66" i="48"/>
  <c r="R66" i="48"/>
  <c r="Q66" i="48"/>
  <c r="P66" i="48"/>
  <c r="U65" i="48"/>
  <c r="T65" i="48"/>
  <c r="S65" i="48"/>
  <c r="R65" i="48"/>
  <c r="Q65" i="48"/>
  <c r="P65" i="48"/>
  <c r="U50" i="48"/>
  <c r="T50" i="48"/>
  <c r="S50" i="48"/>
  <c r="R50" i="48"/>
  <c r="Q50" i="48"/>
  <c r="P50" i="48"/>
  <c r="U49" i="48"/>
  <c r="T49" i="48"/>
  <c r="S49" i="48"/>
  <c r="R49" i="48"/>
  <c r="Q49" i="48"/>
  <c r="P49" i="48"/>
  <c r="P52" i="48" s="1"/>
  <c r="D30" i="17"/>
  <c r="D29" i="17"/>
  <c r="D28" i="17"/>
  <c r="D27" i="17"/>
  <c r="D26" i="17"/>
  <c r="D25" i="17"/>
  <c r="D24" i="17"/>
  <c r="D23" i="17"/>
  <c r="D22" i="17"/>
  <c r="D21" i="17"/>
  <c r="D20" i="17"/>
  <c r="D19" i="17"/>
  <c r="C14" i="17"/>
  <c r="B14" i="17"/>
  <c r="C13" i="17"/>
  <c r="D12" i="17" s="1"/>
  <c r="B13" i="17"/>
  <c r="P33" i="25"/>
  <c r="P32" i="25"/>
  <c r="P31" i="25"/>
  <c r="P30" i="25"/>
  <c r="P29" i="25"/>
  <c r="P28" i="25"/>
  <c r="N29" i="25"/>
  <c r="N30" i="25"/>
  <c r="N31" i="25"/>
  <c r="N32" i="25"/>
  <c r="N33" i="25"/>
  <c r="N28" i="25"/>
  <c r="G35" i="26"/>
  <c r="F35" i="26"/>
  <c r="F36" i="26" s="1"/>
  <c r="E35" i="26"/>
  <c r="E36" i="26" s="1"/>
  <c r="D35" i="26"/>
  <c r="G34" i="26"/>
  <c r="F34" i="26"/>
  <c r="E34" i="26"/>
  <c r="D34" i="26"/>
  <c r="D37" i="26" s="1"/>
  <c r="I26" i="25"/>
  <c r="I7" i="25"/>
  <c r="I19" i="17"/>
  <c r="I15" i="48"/>
  <c r="H15" i="48"/>
  <c r="F15" i="48"/>
  <c r="E15" i="48"/>
  <c r="C15" i="48"/>
  <c r="B15" i="48"/>
  <c r="I31" i="48"/>
  <c r="H31" i="48"/>
  <c r="F31" i="48"/>
  <c r="E31" i="48"/>
  <c r="C31" i="48"/>
  <c r="B31" i="48"/>
  <c r="I65" i="48"/>
  <c r="J63" i="48" s="1"/>
  <c r="H65" i="48"/>
  <c r="F65" i="48"/>
  <c r="G63" i="48" s="1"/>
  <c r="E65" i="48"/>
  <c r="C65" i="48"/>
  <c r="D61" i="48" s="1"/>
  <c r="B65" i="48"/>
  <c r="J13" i="47"/>
  <c r="H13" i="47"/>
  <c r="J12" i="47"/>
  <c r="J15" i="47" s="1"/>
  <c r="H12" i="47"/>
  <c r="H16" i="47" s="1"/>
  <c r="J22" i="47"/>
  <c r="H22" i="47"/>
  <c r="J21" i="47"/>
  <c r="J25" i="47" s="1"/>
  <c r="H21" i="47"/>
  <c r="H25" i="47" s="1"/>
  <c r="J31" i="47"/>
  <c r="H31" i="47"/>
  <c r="J30" i="47"/>
  <c r="J34" i="47" s="1"/>
  <c r="H30" i="47"/>
  <c r="H34" i="47" s="1"/>
  <c r="J40" i="47"/>
  <c r="H40" i="47"/>
  <c r="J39" i="47"/>
  <c r="J43" i="47" s="1"/>
  <c r="H39" i="47"/>
  <c r="H43" i="47" s="1"/>
  <c r="J49" i="47"/>
  <c r="H49" i="47"/>
  <c r="J48" i="47"/>
  <c r="J52" i="47" s="1"/>
  <c r="H48" i="47"/>
  <c r="H52" i="47" s="1"/>
  <c r="J58" i="47"/>
  <c r="H58" i="47"/>
  <c r="J57" i="47"/>
  <c r="J61" i="47" s="1"/>
  <c r="H57" i="47"/>
  <c r="H61" i="47" s="1"/>
  <c r="D58" i="47"/>
  <c r="B58" i="47"/>
  <c r="D57" i="47"/>
  <c r="D61" i="47" s="1"/>
  <c r="B57" i="47"/>
  <c r="B61" i="47" s="1"/>
  <c r="D49" i="47"/>
  <c r="B49" i="47"/>
  <c r="D48" i="47"/>
  <c r="D52" i="47" s="1"/>
  <c r="B48" i="47"/>
  <c r="B52" i="47" s="1"/>
  <c r="D40" i="47"/>
  <c r="B40" i="47"/>
  <c r="D39" i="47"/>
  <c r="D43" i="47" s="1"/>
  <c r="B39" i="47"/>
  <c r="B43" i="47" s="1"/>
  <c r="D31" i="47"/>
  <c r="B31" i="47"/>
  <c r="D30" i="47"/>
  <c r="D34" i="47" s="1"/>
  <c r="B30" i="47"/>
  <c r="B34" i="47" s="1"/>
  <c r="D22" i="47"/>
  <c r="B22" i="47"/>
  <c r="D21" i="47"/>
  <c r="D25" i="47" s="1"/>
  <c r="B21" i="47"/>
  <c r="B25" i="47" s="1"/>
  <c r="D13" i="47"/>
  <c r="D12" i="47"/>
  <c r="D16" i="47" s="1"/>
  <c r="K56" i="47"/>
  <c r="K55" i="47"/>
  <c r="K54" i="47"/>
  <c r="K47" i="47"/>
  <c r="K46" i="47"/>
  <c r="K45" i="47"/>
  <c r="K38" i="47"/>
  <c r="K37" i="47"/>
  <c r="K36" i="47"/>
  <c r="K29" i="47"/>
  <c r="K28" i="47"/>
  <c r="K27" i="47"/>
  <c r="K20" i="47"/>
  <c r="K19" i="47"/>
  <c r="K18" i="47"/>
  <c r="K11" i="47"/>
  <c r="K10" i="47"/>
  <c r="K9" i="47"/>
  <c r="I56" i="47"/>
  <c r="I55" i="47"/>
  <c r="I54" i="47"/>
  <c r="I47" i="47"/>
  <c r="I46" i="47"/>
  <c r="I45" i="47"/>
  <c r="I38" i="47"/>
  <c r="I37" i="47"/>
  <c r="I36" i="47"/>
  <c r="I29" i="47"/>
  <c r="I28" i="47"/>
  <c r="I27" i="47"/>
  <c r="I20" i="47"/>
  <c r="I19" i="47"/>
  <c r="I18" i="47"/>
  <c r="I11" i="47"/>
  <c r="I10" i="47"/>
  <c r="I9" i="47"/>
  <c r="E56" i="47"/>
  <c r="E55" i="47"/>
  <c r="E54" i="47"/>
  <c r="E47" i="47"/>
  <c r="E46" i="47"/>
  <c r="E45" i="47"/>
  <c r="E38" i="47"/>
  <c r="E37" i="47"/>
  <c r="E36" i="47"/>
  <c r="E29" i="47"/>
  <c r="E28" i="47"/>
  <c r="E27" i="47"/>
  <c r="E20" i="47"/>
  <c r="E19" i="47"/>
  <c r="E18" i="47"/>
  <c r="E11" i="47"/>
  <c r="E10" i="47"/>
  <c r="E9" i="47"/>
  <c r="C56" i="47"/>
  <c r="C55" i="47"/>
  <c r="C54" i="47"/>
  <c r="C47" i="47"/>
  <c r="C46" i="47"/>
  <c r="C45" i="47"/>
  <c r="C38" i="47"/>
  <c r="C37" i="47"/>
  <c r="C36" i="47"/>
  <c r="C29" i="47"/>
  <c r="C28" i="47"/>
  <c r="C27" i="47"/>
  <c r="C20" i="47"/>
  <c r="C19" i="47"/>
  <c r="C18" i="47"/>
  <c r="F22" i="31"/>
  <c r="F15" i="31"/>
  <c r="F7" i="31"/>
  <c r="H14" i="47" l="1"/>
  <c r="T67" i="48"/>
  <c r="R52" i="48"/>
  <c r="T52" i="48"/>
  <c r="G36" i="26"/>
  <c r="C15" i="17"/>
  <c r="F37" i="26"/>
  <c r="P67" i="48"/>
  <c r="Q67" i="48"/>
  <c r="R67" i="48"/>
  <c r="S67" i="48"/>
  <c r="R68" i="48"/>
  <c r="U67" i="48"/>
  <c r="T68" i="48"/>
  <c r="P68" i="48"/>
  <c r="P51" i="48"/>
  <c r="Q51" i="48"/>
  <c r="R51" i="48"/>
  <c r="S51" i="48"/>
  <c r="T51" i="48"/>
  <c r="U51" i="48"/>
  <c r="D63" i="48"/>
  <c r="J60" i="48"/>
  <c r="D36" i="26"/>
  <c r="D62" i="48"/>
  <c r="J64" i="48"/>
  <c r="D60" i="48"/>
  <c r="D32" i="47"/>
  <c r="G59" i="48"/>
  <c r="G60" i="48"/>
  <c r="G61" i="48"/>
  <c r="G62" i="48"/>
  <c r="J14" i="47"/>
  <c r="D64" i="48"/>
  <c r="G64" i="48"/>
  <c r="D7" i="17"/>
  <c r="D8" i="17"/>
  <c r="D9" i="17"/>
  <c r="D10" i="17"/>
  <c r="D11" i="17"/>
  <c r="B15" i="17"/>
  <c r="D59" i="48"/>
  <c r="J59" i="48"/>
  <c r="J61" i="48"/>
  <c r="J62" i="48"/>
  <c r="J59" i="47"/>
  <c r="J32" i="47"/>
  <c r="D59" i="47"/>
  <c r="B41" i="47"/>
  <c r="H59" i="47"/>
  <c r="H32" i="47"/>
  <c r="J41" i="47"/>
  <c r="B23" i="47"/>
  <c r="D23" i="47"/>
  <c r="D50" i="47"/>
  <c r="B59" i="47"/>
  <c r="H15" i="47"/>
  <c r="J16" i="47"/>
  <c r="J23" i="47"/>
  <c r="J50" i="47"/>
  <c r="H50" i="47"/>
  <c r="H23" i="47"/>
  <c r="H41" i="47"/>
  <c r="D15" i="47"/>
  <c r="D14" i="47"/>
  <c r="D41" i="47"/>
  <c r="B50" i="47"/>
  <c r="B32" i="47"/>
  <c r="H24" i="47"/>
  <c r="J24" i="47"/>
  <c r="H33" i="47"/>
  <c r="J33" i="47"/>
  <c r="H42" i="47"/>
  <c r="J42" i="47"/>
  <c r="H51" i="47"/>
  <c r="J51" i="47"/>
  <c r="H60" i="47"/>
  <c r="J60" i="47"/>
  <c r="B60" i="47"/>
  <c r="D60" i="47"/>
  <c r="B51" i="47"/>
  <c r="D51" i="47"/>
  <c r="B42" i="47"/>
  <c r="D42" i="47"/>
  <c r="B33" i="47"/>
  <c r="D33" i="47"/>
  <c r="B24" i="47"/>
  <c r="D24" i="47"/>
  <c r="D14" i="17" l="1"/>
  <c r="D13" i="17"/>
  <c r="J66" i="48"/>
  <c r="J65" i="48"/>
  <c r="D65" i="48"/>
  <c r="D66" i="48"/>
  <c r="G66" i="48"/>
  <c r="G65" i="48"/>
  <c r="O35" i="25"/>
  <c r="M35" i="25"/>
  <c r="O34" i="25"/>
  <c r="O37" i="25" s="1"/>
  <c r="M34" i="25"/>
  <c r="M37" i="25" s="1"/>
  <c r="S26" i="25"/>
  <c r="I49" i="48"/>
  <c r="H49" i="48"/>
  <c r="F49" i="48"/>
  <c r="E49" i="48"/>
  <c r="C49" i="48"/>
  <c r="B49" i="48"/>
  <c r="O75" i="15"/>
  <c r="O79" i="15"/>
  <c r="O36" i="15"/>
  <c r="O35" i="15"/>
  <c r="O23" i="15"/>
  <c r="D15" i="17" l="1"/>
  <c r="D67" i="48"/>
  <c r="M36" i="25"/>
  <c r="G46" i="48"/>
  <c r="G45" i="48"/>
  <c r="G44" i="48"/>
  <c r="G47" i="48"/>
  <c r="G43" i="48"/>
  <c r="G48" i="48"/>
  <c r="D44" i="48"/>
  <c r="D45" i="48"/>
  <c r="D46" i="48"/>
  <c r="D47" i="48"/>
  <c r="D48" i="48"/>
  <c r="D43" i="48"/>
  <c r="J48" i="48"/>
  <c r="J45" i="48"/>
  <c r="J44" i="48"/>
  <c r="J47" i="48"/>
  <c r="J46" i="48"/>
  <c r="J43" i="48"/>
  <c r="O36" i="25"/>
  <c r="B68" i="48"/>
  <c r="B69" i="48" s="1"/>
  <c r="J67" i="48"/>
  <c r="G67" i="48"/>
  <c r="I24" i="24" l="1"/>
  <c r="I6" i="24"/>
  <c r="H26" i="11" l="1"/>
  <c r="C34" i="25"/>
  <c r="F24" i="30"/>
  <c r="F23" i="30"/>
  <c r="F22" i="30"/>
  <c r="D23" i="30"/>
  <c r="D24" i="30"/>
  <c r="D22" i="30"/>
  <c r="F33" i="25"/>
  <c r="F32" i="25"/>
  <c r="F31" i="25"/>
  <c r="F30" i="25"/>
  <c r="F29" i="25"/>
  <c r="F28" i="25"/>
  <c r="D29" i="25"/>
  <c r="D30" i="25"/>
  <c r="D31" i="25"/>
  <c r="D32" i="25"/>
  <c r="D33" i="25"/>
  <c r="D28" i="25"/>
  <c r="D26" i="18"/>
  <c r="D27" i="18"/>
  <c r="D28" i="18"/>
  <c r="D29" i="18"/>
  <c r="D30" i="18"/>
  <c r="D25" i="18"/>
  <c r="D27" i="24" l="1"/>
  <c r="E26" i="30" l="1"/>
  <c r="C26" i="30"/>
  <c r="E25" i="30"/>
  <c r="E28" i="30" s="1"/>
  <c r="C25" i="30"/>
  <c r="C28" i="30" s="1"/>
  <c r="E35" i="25"/>
  <c r="C35" i="25"/>
  <c r="E34" i="25"/>
  <c r="E37" i="25" s="1"/>
  <c r="C37" i="25"/>
  <c r="C32" i="18"/>
  <c r="C31" i="18"/>
  <c r="C34" i="18" s="1"/>
  <c r="E26" i="11"/>
  <c r="J28" i="48" l="1"/>
  <c r="D28" i="48"/>
  <c r="G30" i="48"/>
  <c r="D25" i="48"/>
  <c r="D29" i="48"/>
  <c r="D26" i="48"/>
  <c r="J26" i="48"/>
  <c r="G28" i="48"/>
  <c r="J30" i="48"/>
  <c r="C36" i="25"/>
  <c r="E27" i="30"/>
  <c r="D30" i="48"/>
  <c r="G29" i="48"/>
  <c r="J27" i="48"/>
  <c r="E36" i="25"/>
  <c r="D27" i="48"/>
  <c r="J25" i="48"/>
  <c r="C27" i="30"/>
  <c r="C33" i="18"/>
  <c r="G27" i="48"/>
  <c r="G26" i="48"/>
  <c r="G25" i="48"/>
  <c r="J29" i="48"/>
  <c r="I66" i="47"/>
  <c r="H66" i="47"/>
  <c r="J11" i="48"/>
  <c r="G32" i="48" l="1"/>
  <c r="G31" i="48"/>
  <c r="D31" i="48"/>
  <c r="D32" i="48"/>
  <c r="J32" i="48"/>
  <c r="J31" i="48"/>
  <c r="J13" i="48"/>
  <c r="J12" i="48"/>
  <c r="J9" i="48"/>
  <c r="J10" i="48"/>
  <c r="J14" i="48"/>
  <c r="I65" i="47"/>
  <c r="P80" i="15"/>
  <c r="O80" i="15"/>
  <c r="P79" i="15"/>
  <c r="P76" i="15"/>
  <c r="O76" i="15"/>
  <c r="P75" i="15"/>
  <c r="P71" i="15"/>
  <c r="O71" i="15"/>
  <c r="P70" i="15"/>
  <c r="O70" i="15"/>
  <c r="P67" i="15"/>
  <c r="O67" i="15"/>
  <c r="P66" i="15"/>
  <c r="O66" i="15"/>
  <c r="G33" i="48" l="1"/>
  <c r="B34" i="48"/>
  <c r="B35" i="48" s="1"/>
  <c r="J33" i="48"/>
  <c r="D33" i="48"/>
  <c r="J15" i="48"/>
  <c r="J16" i="48"/>
  <c r="G50" i="48"/>
  <c r="G49" i="48"/>
  <c r="J49" i="48"/>
  <c r="J50" i="48"/>
  <c r="D50" i="48"/>
  <c r="D49" i="48"/>
  <c r="G14" i="48"/>
  <c r="G13" i="48"/>
  <c r="G12" i="48"/>
  <c r="G11" i="48"/>
  <c r="G10" i="48"/>
  <c r="G9" i="48"/>
  <c r="D14" i="48"/>
  <c r="D10" i="48"/>
  <c r="D11" i="48"/>
  <c r="D12" i="48"/>
  <c r="D13" i="48"/>
  <c r="D9" i="48"/>
  <c r="G51" i="48" l="1"/>
  <c r="J17" i="48"/>
  <c r="B52" i="48"/>
  <c r="B53" i="48" s="1"/>
  <c r="D15" i="48"/>
  <c r="D16" i="48"/>
  <c r="G16" i="48"/>
  <c r="G15" i="48"/>
  <c r="D51" i="48"/>
  <c r="J51" i="48"/>
  <c r="D17" i="48" l="1"/>
  <c r="G17" i="48"/>
  <c r="B18" i="48"/>
  <c r="B19" i="48" s="1"/>
  <c r="B13" i="47"/>
  <c r="B12" i="47"/>
  <c r="B16" i="47" s="1"/>
  <c r="C11" i="47"/>
  <c r="C10" i="47"/>
  <c r="C9" i="47"/>
  <c r="B14" i="47" l="1"/>
  <c r="B66" i="47"/>
  <c r="C66" i="47"/>
  <c r="B15" i="47"/>
  <c r="C65" i="47" l="1"/>
  <c r="O31" i="15"/>
  <c r="O27" i="15"/>
  <c r="P26" i="15"/>
  <c r="O26" i="15"/>
  <c r="P27" i="15"/>
  <c r="P23" i="15"/>
  <c r="P22" i="15"/>
  <c r="O22" i="15"/>
  <c r="P36" i="15" l="1"/>
  <c r="P35" i="15"/>
  <c r="P31" i="15"/>
  <c r="P32" i="15"/>
  <c r="O32" i="15"/>
  <c r="H14" i="11" l="1"/>
  <c r="E14" i="11"/>
  <c r="H20" i="11" l="1"/>
  <c r="E20" i="11"/>
  <c r="H8" i="11"/>
  <c r="E8" i="11"/>
  <c r="E21" i="11" l="1"/>
  <c r="H21" i="11"/>
  <c r="H22" i="11"/>
  <c r="H23" i="11"/>
  <c r="H24" i="11"/>
  <c r="H25" i="11"/>
  <c r="E22" i="11"/>
  <c r="E23" i="11"/>
  <c r="E24" i="11"/>
  <c r="E25" i="11"/>
  <c r="H9" i="11"/>
  <c r="H10" i="11"/>
  <c r="H11" i="11"/>
  <c r="H12" i="11"/>
  <c r="H13" i="11"/>
  <c r="E10" i="11"/>
  <c r="E11" i="11"/>
  <c r="E12" i="11"/>
  <c r="E13" i="11"/>
  <c r="E9" i="11"/>
  <c r="H14" i="17" l="1"/>
  <c r="G14" i="17"/>
  <c r="H13" i="17"/>
  <c r="G13" i="17"/>
  <c r="C15" i="18"/>
  <c r="C14" i="18"/>
  <c r="C17" i="18" s="1"/>
  <c r="D13" i="18"/>
  <c r="D12" i="18"/>
  <c r="D11" i="18"/>
  <c r="D10" i="18"/>
  <c r="D9" i="18"/>
  <c r="D8" i="18"/>
  <c r="E16" i="24"/>
  <c r="C16" i="24"/>
  <c r="E15" i="24"/>
  <c r="E18" i="24" s="1"/>
  <c r="C15" i="24"/>
  <c r="C18" i="24" s="1"/>
  <c r="F14" i="24"/>
  <c r="D14" i="24"/>
  <c r="F13" i="24"/>
  <c r="D13" i="24"/>
  <c r="F12" i="24"/>
  <c r="D12" i="24"/>
  <c r="F11" i="24"/>
  <c r="D11" i="24"/>
  <c r="F10" i="24"/>
  <c r="D10" i="24"/>
  <c r="F9" i="24"/>
  <c r="D9" i="24"/>
  <c r="F16" i="23"/>
  <c r="D16" i="23"/>
  <c r="F15" i="23"/>
  <c r="F18" i="23" s="1"/>
  <c r="D15" i="23"/>
  <c r="D18" i="23" s="1"/>
  <c r="G14" i="23"/>
  <c r="E14" i="23"/>
  <c r="G13" i="23"/>
  <c r="E13" i="23"/>
  <c r="G12" i="23"/>
  <c r="E12" i="23"/>
  <c r="G11" i="23"/>
  <c r="E11" i="23"/>
  <c r="G10" i="23"/>
  <c r="E10" i="23"/>
  <c r="G9" i="23"/>
  <c r="E9" i="23"/>
  <c r="E16" i="25"/>
  <c r="C16" i="25"/>
  <c r="E15" i="25"/>
  <c r="E18" i="25" s="1"/>
  <c r="C15" i="25"/>
  <c r="C18" i="25" s="1"/>
  <c r="F14" i="25"/>
  <c r="D14" i="25"/>
  <c r="F13" i="25"/>
  <c r="D13" i="25"/>
  <c r="F12" i="25"/>
  <c r="D12" i="25"/>
  <c r="F11" i="25"/>
  <c r="D11" i="25"/>
  <c r="F10" i="25"/>
  <c r="D10" i="25"/>
  <c r="F9" i="25"/>
  <c r="D9" i="25"/>
  <c r="G17" i="26"/>
  <c r="F17" i="26"/>
  <c r="E17" i="26"/>
  <c r="D17" i="26"/>
  <c r="G16" i="26"/>
  <c r="F16" i="26"/>
  <c r="E16" i="26"/>
  <c r="D16" i="26"/>
  <c r="E12" i="30"/>
  <c r="C12" i="30"/>
  <c r="E11" i="30"/>
  <c r="E14" i="30" s="1"/>
  <c r="C11" i="30"/>
  <c r="C14" i="30" s="1"/>
  <c r="E34" i="24"/>
  <c r="C34" i="24"/>
  <c r="E33" i="24"/>
  <c r="C33" i="24"/>
  <c r="F34" i="23"/>
  <c r="D34" i="23"/>
  <c r="F33" i="23"/>
  <c r="D33" i="23"/>
  <c r="D18" i="26" l="1"/>
  <c r="G18" i="26"/>
  <c r="E17" i="25"/>
  <c r="F17" i="23"/>
  <c r="E17" i="24"/>
  <c r="F19" i="26"/>
  <c r="C17" i="25"/>
  <c r="D17" i="23"/>
  <c r="C17" i="24"/>
  <c r="I12" i="17"/>
  <c r="I7" i="17"/>
  <c r="E13" i="30"/>
  <c r="I8" i="17"/>
  <c r="H15" i="17"/>
  <c r="I9" i="17"/>
  <c r="E18" i="26"/>
  <c r="I10" i="17"/>
  <c r="I11" i="17"/>
  <c r="D19" i="26"/>
  <c r="C13" i="30"/>
  <c r="F18" i="26"/>
  <c r="G15" i="17"/>
  <c r="C16" i="18"/>
  <c r="I13" i="17" l="1"/>
  <c r="I14" i="17"/>
  <c r="I15" i="17" l="1"/>
  <c r="E32" i="23" l="1"/>
  <c r="G27" i="23"/>
  <c r="E27" i="23"/>
  <c r="F27" i="24"/>
  <c r="D28" i="24"/>
  <c r="G28" i="23"/>
  <c r="G29" i="23"/>
  <c r="G30" i="23"/>
  <c r="G31" i="23"/>
  <c r="G32" i="23"/>
  <c r="E28" i="23"/>
  <c r="E29" i="23"/>
  <c r="E30" i="23"/>
  <c r="E31" i="23"/>
  <c r="F32" i="24"/>
  <c r="F31" i="24"/>
  <c r="F30" i="24"/>
  <c r="F29" i="24"/>
  <c r="F28" i="24"/>
  <c r="D32" i="24"/>
  <c r="D29" i="24"/>
  <c r="D30" i="24"/>
  <c r="D31" i="24"/>
  <c r="I20" i="17" l="1"/>
  <c r="I21" i="17"/>
  <c r="I22" i="17"/>
  <c r="I23" i="17"/>
  <c r="I24" i="17"/>
  <c r="I26" i="17"/>
  <c r="I27" i="17"/>
  <c r="I28" i="17"/>
  <c r="I29" i="17"/>
  <c r="I30" i="17"/>
  <c r="I25" i="17"/>
  <c r="F36" i="23" l="1"/>
  <c r="D36" i="23"/>
  <c r="E36" i="24"/>
  <c r="C36" i="24"/>
  <c r="F35" i="23" l="1"/>
  <c r="D35" i="23"/>
  <c r="C35" i="24"/>
  <c r="E35" i="24"/>
  <c r="F9" i="30" l="1"/>
  <c r="F10" i="30"/>
  <c r="F8" i="30"/>
  <c r="D9" i="30"/>
  <c r="D10" i="30"/>
  <c r="D8" i="30"/>
</calcChain>
</file>

<file path=xl/sharedStrings.xml><?xml version="1.0" encoding="utf-8"?>
<sst xmlns="http://schemas.openxmlformats.org/spreadsheetml/2006/main" count="750" uniqueCount="198">
  <si>
    <t>LLOQ</t>
  </si>
  <si>
    <t>HQC</t>
  </si>
  <si>
    <t>MQC</t>
  </si>
  <si>
    <t>LQC</t>
  </si>
  <si>
    <t>SD</t>
  </si>
  <si>
    <t>n</t>
  </si>
  <si>
    <t xml:space="preserve"> LQC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</si>
  <si>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</si>
  <si>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</si>
  <si>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</si>
  <si>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</si>
  <si>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</si>
  <si>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</si>
  <si>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</si>
  <si>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</si>
  <si>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</si>
  <si>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</si>
  <si>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>T</t>
    </r>
    <r>
      <rPr>
        <vertAlign val="subscript"/>
        <sz val="10.5"/>
        <rFont val="Times New Roman"/>
        <family val="1"/>
      </rPr>
      <t>x</t>
    </r>
    <phoneticPr fontId="4" type="noConversion"/>
  </si>
  <si>
    <r>
      <rPr>
        <sz val="10.5"/>
        <rFont val="宋体"/>
        <family val="3"/>
        <charset val="134"/>
      </rPr>
      <t>浓度</t>
    </r>
    <phoneticPr fontId="4" type="noConversion"/>
  </si>
  <si>
    <r>
      <rPr>
        <sz val="10.5"/>
        <rFont val="宋体"/>
        <family val="3"/>
        <charset val="134"/>
      </rPr>
      <t>待测物与内标的峰面积比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</si>
  <si>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</si>
  <si>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t>放置时间：</t>
  </si>
  <si>
    <t>表23：溶血效应</t>
  </si>
  <si>
    <t>表20：处理后样品的稳定性</t>
  </si>
  <si>
    <t>表19：冻融稳定性</t>
  </si>
  <si>
    <t xml:space="preserve">表18：生物样品前处理过程中的短期稳定性 </t>
  </si>
  <si>
    <t>表13：稀释可靠性</t>
  </si>
  <si>
    <t>表12：内标回收率：以内标与提取待测物的峰面积比计</t>
  </si>
  <si>
    <t>表9：批内/批间样品检测的精密度和准确度</t>
  </si>
  <si>
    <t>表4：选择性考察</t>
  </si>
  <si>
    <t>检测批次编号：2</t>
  </si>
  <si>
    <t>CV (%)</t>
  </si>
  <si>
    <t>准确度 (%)</t>
  </si>
  <si>
    <t>准确度偏差 (%)</t>
  </si>
  <si>
    <t>批内CV (%)</t>
  </si>
  <si>
    <t>批内准确度偏差 (%)</t>
  </si>
  <si>
    <t>批间CV (%)</t>
  </si>
  <si>
    <t>批间准确度偏差 (%)</t>
  </si>
  <si>
    <t>干扰 (%）</t>
  </si>
  <si>
    <t>干扰（%）</t>
  </si>
  <si>
    <t>CV（%）</t>
  </si>
  <si>
    <t>准确度（%）</t>
  </si>
  <si>
    <t>准确度偏差（%）</t>
  </si>
  <si>
    <t>提取回收率（%）</t>
  </si>
  <si>
    <t>批内CV（%）</t>
  </si>
  <si>
    <t>批内准确度偏差（%）</t>
  </si>
  <si>
    <r>
      <rPr>
        <sz val="10.5"/>
        <rFont val="宋体"/>
        <family val="3"/>
        <charset val="134"/>
      </rPr>
      <t>待测物响应值</t>
    </r>
    <phoneticPr fontId="4" type="noConversion"/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</si>
  <si>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</si>
  <si>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</si>
  <si>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</si>
  <si>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</si>
  <si>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t>Max</t>
    <phoneticPr fontId="4" type="noConversion"/>
  </si>
  <si>
    <t>Min</t>
    <phoneticPr fontId="4" type="noConversion"/>
  </si>
  <si>
    <t>%Bias</t>
    <phoneticPr fontId="4" type="noConversion"/>
  </si>
  <si>
    <t>%CV</t>
    <phoneticPr fontId="4" type="noConversion"/>
  </si>
  <si>
    <t>LLOQ</t>
    <phoneticPr fontId="4" type="noConversion"/>
  </si>
  <si>
    <t>GMQC</t>
    <phoneticPr fontId="4" type="noConversion"/>
  </si>
  <si>
    <t>MQC</t>
    <phoneticPr fontId="4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</si>
  <si>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</si>
  <si>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</si>
  <si>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</si>
  <si>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</si>
  <si>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表6：基质效应试验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</si>
  <si>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</si>
  <si>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</si>
  <si>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</si>
  <si>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</si>
  <si>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</si>
  <si>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</si>
  <si>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溶血</t>
    <phoneticPr fontId="4" type="noConversion"/>
  </si>
  <si>
    <t>NA</t>
    <phoneticPr fontId="4" type="noConversion"/>
  </si>
  <si>
    <t>Min</t>
    <phoneticPr fontId="16" type="noConversion"/>
  </si>
  <si>
    <t>Max</t>
    <phoneticPr fontId="16" type="noConversion"/>
  </si>
  <si>
    <t xml:space="preserve"> </t>
    <phoneticPr fontId="4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</si>
  <si>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</si>
  <si>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</si>
  <si>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t>表11：待测物提取回收率：以待测物与内标的峰面积比计</t>
    <phoneticPr fontId="4" type="noConversion"/>
  </si>
  <si>
    <t>提取后峰面积比</t>
    <phoneticPr fontId="16" type="noConversion"/>
  </si>
  <si>
    <r>
      <rPr>
        <sz val="10.5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</si>
  <si>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</si>
  <si>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</si>
  <si>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</si>
  <si>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4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</si>
  <si>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2</t>
    </r>
    <phoneticPr fontId="16" type="noConversion"/>
  </si>
  <si>
    <r>
      <rPr>
        <sz val="10.5"/>
        <rFont val="宋体"/>
        <family val="3"/>
        <charset val="134"/>
      </rPr>
      <t>提取后峰面积比</t>
    </r>
    <phoneticPr fontId="43" type="noConversion"/>
  </si>
  <si>
    <r>
      <rPr>
        <sz val="10.5"/>
        <rFont val="宋体"/>
        <family val="3"/>
        <charset val="134"/>
      </rPr>
      <t>未提取的峰面积比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</si>
  <si>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平均值</t>
    </r>
    <phoneticPr fontId="43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</si>
  <si>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</si>
  <si>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16" type="noConversion"/>
  </si>
  <si>
    <r>
      <rPr>
        <sz val="10.5"/>
        <rFont val="宋体"/>
        <family val="3"/>
        <charset val="134"/>
      </rPr>
      <t>提取后内标峰面积比</t>
    </r>
  </si>
  <si>
    <r>
      <rPr>
        <sz val="10.5"/>
        <rFont val="宋体"/>
        <family val="3"/>
        <charset val="134"/>
      </rPr>
      <t>未提取内标峰面积比</t>
    </r>
  </si>
  <si>
    <r>
      <rPr>
        <sz val="10.5"/>
        <rFont val="宋体"/>
        <family val="3"/>
        <charset val="134"/>
      </rPr>
      <t>平均值</t>
    </r>
    <phoneticPr fontId="4" type="noConversion"/>
  </si>
  <si>
    <r>
      <rPr>
        <sz val="10.5"/>
        <rFont val="宋体"/>
        <family val="3"/>
        <charset val="134"/>
      </rPr>
      <t>样品名称</t>
    </r>
    <phoneticPr fontId="4" type="noConversion"/>
  </si>
  <si>
    <r>
      <t>DQC(</t>
    </r>
    <r>
      <rPr>
        <sz val="10.5"/>
        <rFont val="Yu Gothic"/>
        <family val="2"/>
        <charset val="128"/>
      </rPr>
      <t>稀</t>
    </r>
    <r>
      <rPr>
        <sz val="10.5"/>
        <rFont val="宋体"/>
        <family val="1"/>
        <charset val="134"/>
      </rPr>
      <t>释</t>
    </r>
    <r>
      <rPr>
        <sz val="10.5"/>
        <rFont val="Yu Gothic"/>
        <family val="2"/>
        <charset val="128"/>
      </rPr>
      <t>倍数</t>
    </r>
    <r>
      <rPr>
        <sz val="10.5"/>
        <rFont val="Times New Roman"/>
        <family val="1"/>
      </rPr>
      <t>20</t>
    </r>
    <r>
      <rPr>
        <sz val="10.5"/>
        <rFont val="Yu Gothic"/>
        <family val="2"/>
        <charset val="128"/>
      </rPr>
      <t>倍）</t>
    </r>
    <phoneticPr fontId="4" type="noConversion"/>
  </si>
  <si>
    <r>
      <rPr>
        <sz val="10.5"/>
        <rFont val="宋体"/>
        <family val="3"/>
        <charset val="134"/>
      </rPr>
      <t>样品放置结束时间：</t>
    </r>
  </si>
  <si>
    <r>
      <rPr>
        <sz val="10.5"/>
        <rFont val="宋体"/>
        <family val="3"/>
        <charset val="134"/>
      </rPr>
      <t>冻融循环次数</t>
    </r>
  </si>
  <si>
    <r>
      <t>4</t>
    </r>
    <r>
      <rPr>
        <sz val="10.5"/>
        <rFont val="宋体"/>
        <family val="3"/>
        <charset val="134"/>
      </rPr>
      <t>次</t>
    </r>
    <phoneticPr fontId="4" type="noConversion"/>
  </si>
  <si>
    <r>
      <rPr>
        <sz val="10.5"/>
        <rFont val="宋体"/>
        <family val="3"/>
        <charset val="134"/>
      </rPr>
      <t>内标峰面积</t>
    </r>
    <phoneticPr fontId="4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</si>
  <si>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</si>
  <si>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</si>
  <si>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：全血稳定性</t>
    </r>
  </si>
  <si>
    <r>
      <t>CV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</si>
  <si>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差异（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</si>
  <si>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t>T</t>
    </r>
    <r>
      <rPr>
        <vertAlign val="subscript"/>
        <sz val="10.5"/>
        <rFont val="Times New Roman"/>
        <family val="1"/>
      </rPr>
      <t>x</t>
    </r>
    <phoneticPr fontId="4" type="noConversion"/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</si>
  <si>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4" type="noConversion"/>
  </si>
  <si>
    <r>
      <rPr>
        <sz val="10.5"/>
        <rFont val="宋体"/>
        <family val="3"/>
        <charset val="134"/>
      </rPr>
      <t>批内</t>
    </r>
    <phoneticPr fontId="4" type="noConversion"/>
  </si>
  <si>
    <r>
      <rPr>
        <sz val="10.5"/>
        <rFont val="宋体"/>
        <family val="3"/>
        <charset val="134"/>
      </rPr>
      <t>批间</t>
    </r>
    <phoneticPr fontId="4" type="noConversion"/>
  </si>
  <si>
    <r>
      <rPr>
        <sz val="10.5"/>
        <rFont val="宋体"/>
        <family val="3"/>
        <charset val="134"/>
      </rPr>
      <t>批间</t>
    </r>
    <phoneticPr fontId="4" type="noConversion"/>
  </si>
  <si>
    <r>
      <t>#</t>
    </r>
    <r>
      <rPr>
        <sz val="10.5"/>
        <rFont val="宋体"/>
        <family val="3"/>
        <charset val="134"/>
      </rPr>
      <t>表示不符合接受标准，仍参与统计计算</t>
    </r>
    <phoneticPr fontId="16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</si>
  <si>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</si>
  <si>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r>
      <t xml:space="preserve"> </t>
    </r>
    <r>
      <rPr>
        <sz val="10.5"/>
        <rFont val="宋体"/>
        <family val="3"/>
        <charset val="134"/>
      </rPr>
      <t>检测批次编号</t>
    </r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</si>
  <si>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4" type="noConversion"/>
  </si>
  <si>
    <t xml:space="preserve"> Only IS 1</t>
    <phoneticPr fontId="4" type="noConversion"/>
  </si>
  <si>
    <t>Only IS 2</t>
    <phoneticPr fontId="4" type="noConversion"/>
  </si>
  <si>
    <t>Only IS 3</t>
    <phoneticPr fontId="4" type="noConversion"/>
  </si>
  <si>
    <t>RENS25315-AS 选择性</t>
  </si>
  <si>
    <t>符合接受标准的定量下限RENS25315-AS峰面积（均）值</t>
  </si>
  <si>
    <t>RENS25315-SS选择性</t>
  </si>
  <si>
    <t>符合接受标准的定量下限RENS25315-SS峰面积（均）值</t>
  </si>
  <si>
    <t>内标对待测物RENS25315-AS的干扰</t>
  </si>
  <si>
    <t>待测物RENS25315-AS保留时间处的峰面积</t>
  </si>
  <si>
    <t>符合接受标准的标曲样品定量下限RENS25315-AS峰面积（均）值</t>
  </si>
  <si>
    <t>干扰占RENS25315-AS
的百分比（%）</t>
  </si>
  <si>
    <t>内标对待测物RENS25315-SS的干扰</t>
  </si>
  <si>
    <t>待测物RENS25315-SS保留时间处的峰面积</t>
  </si>
  <si>
    <t>符合接受标准的标曲样品定量下限RENS25315-SS峰面积（均）值</t>
  </si>
  <si>
    <t>干扰占RENS25315-SS
的百分比（%)</t>
  </si>
  <si>
    <t>RENS25315-AS</t>
  </si>
  <si>
    <t>RENS25315-SS</t>
  </si>
  <si>
    <t>符合接受标准的标曲样品定量下限内标ISNS25315的平均峰面积值</t>
  </si>
  <si>
    <t>内标ISNS25315 保留时间处的峰面积</t>
  </si>
  <si>
    <t>符合接受标准的标曲样品定量下限的内标ISNS25315的峰面积（均）值</t>
  </si>
  <si>
    <t>干扰占ISNS25315
的百分比（%）</t>
  </si>
  <si>
    <t>NS25315BV01 Unextracted Mid 1</t>
  </si>
  <si>
    <t>NS25315BV01 Unextracted Mid 2</t>
  </si>
  <si>
    <t>NS25315BV01 Unextracted Mid 3</t>
  </si>
  <si>
    <t>NS25315BV01 Unextracted Mid 4</t>
  </si>
  <si>
    <t>NS25315BV01 Unextracted Mid 5</t>
  </si>
  <si>
    <t>NS25315BV01 Unextracted Mid 6</t>
  </si>
  <si>
    <t>NS25315BV01 Extracted IS 1</t>
  </si>
  <si>
    <t>NS25315BV01 Extracted IS 2</t>
  </si>
  <si>
    <t>NS25315BV01 Extracted IS 3</t>
  </si>
  <si>
    <t>NS25315BV01 Extracted IS 4</t>
  </si>
  <si>
    <t>NS25315BV01 Extracted IS 5</t>
  </si>
  <si>
    <t>NS25315BV01 Extracted IS 6</t>
  </si>
  <si>
    <t>KN-BM-25-534 1F</t>
  </si>
  <si>
    <t>KN-BM-25-534 1F</t>
    <phoneticPr fontId="4" type="noConversion"/>
  </si>
  <si>
    <t>KN-BM-25-534 2F</t>
  </si>
  <si>
    <t>KN-BM-25-534 2F</t>
    <phoneticPr fontId="4" type="noConversion"/>
  </si>
  <si>
    <t>KN-BM-25-534 3F</t>
  </si>
  <si>
    <t>KN-BM-25-534 3F</t>
    <phoneticPr fontId="4" type="noConversion"/>
  </si>
  <si>
    <t>KN-BM-25-534 32M</t>
  </si>
  <si>
    <t>KN-BM-25-534 32M</t>
    <phoneticPr fontId="4" type="noConversion"/>
  </si>
  <si>
    <t>KN-BM-25-534 33M</t>
  </si>
  <si>
    <t>KN-BM-25-534 34M</t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</si>
  <si>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RENS25315</t>
    </r>
    <r>
      <rPr>
        <sz val="10.5"/>
        <rFont val="宋体"/>
        <family val="3"/>
        <charset val="134"/>
      </rPr>
      <t>对内标的干扰</t>
    </r>
    <phoneticPr fontId="4" type="noConversion"/>
  </si>
  <si>
    <t>ng/mL</t>
  </si>
  <si>
    <t>ng/mL</t>
    <phoneticPr fontId="16" type="noConversion"/>
  </si>
  <si>
    <t>ng/mL</t>
    <phoneticPr fontId="4" type="noConversion"/>
  </si>
  <si>
    <t>#3.831</t>
  </si>
  <si>
    <t>#3.860</t>
  </si>
  <si>
    <t>#3.610</t>
  </si>
  <si>
    <t>RENS25315-SS</t>
    <phoneticPr fontId="4" type="noConversion"/>
  </si>
  <si>
    <t>#4.041</t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</si>
  <si>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宋体"/>
        <family val="3"/>
        <charset val="134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宋体"/>
        <family val="2"/>
        <charset val="134"/>
      </rPr>
      <t>6</t>
    </r>
    <phoneticPr fontId="16" type="noConversion"/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</si>
  <si>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宋体"/>
        <family val="3"/>
        <charset val="134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宋体"/>
        <family val="2"/>
        <charset val="134"/>
      </rPr>
      <t>3</t>
    </r>
    <phoneticPr fontId="16" type="noConversion"/>
  </si>
  <si>
    <r>
      <rPr>
        <sz val="10.5"/>
        <rFont val="宋体"/>
        <family val="3"/>
        <charset val="134"/>
      </rPr>
      <t>试验条件：在冰浴白光下放置</t>
    </r>
    <r>
      <rPr>
        <sz val="10.5"/>
        <rFont val="Times New Roman"/>
        <family val="1"/>
      </rPr>
      <t>21</t>
    </r>
    <r>
      <rPr>
        <sz val="10.5"/>
        <rFont val="宋体"/>
        <family val="3"/>
        <charset val="134"/>
      </rPr>
      <t>小时的短期稳定性</t>
    </r>
    <phoneticPr fontId="4" type="noConversion"/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</si>
  <si>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小时，在冰浴白光条件下融化。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</si>
  <si>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92</t>
    </r>
    <r>
      <rPr>
        <sz val="10.5"/>
        <rFont val="宋体"/>
        <family val="3"/>
        <charset val="134"/>
      </rPr>
      <t>小时的稳定性</t>
    </r>
    <phoneticPr fontId="4" type="noConversion"/>
  </si>
  <si>
    <t>待测物（AS）峰面积</t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</si>
  <si>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135</t>
    </r>
    <r>
      <rPr>
        <sz val="10.5"/>
        <rFont val="宋体"/>
        <family val="3"/>
        <charset val="134"/>
      </rPr>
      <t>小时的稳定性</t>
    </r>
    <phoneticPr fontId="4" type="noConversion"/>
  </si>
  <si>
    <r>
      <rPr>
        <sz val="10.5"/>
        <color theme="1"/>
        <rFont val="宋体"/>
        <family val="3"/>
        <charset val="134"/>
      </rPr>
      <t>检测日期：</t>
    </r>
    <r>
      <rPr>
        <sz val="10.5"/>
        <color theme="1"/>
        <rFont val="Times New Roman"/>
        <family val="1"/>
      </rPr>
      <t>2025/09/03</t>
    </r>
    <phoneticPr fontId="16" type="noConversion"/>
  </si>
  <si>
    <r>
      <rPr>
        <sz val="10.5"/>
        <color theme="1"/>
        <rFont val="宋体"/>
        <family val="3"/>
        <charset val="134"/>
      </rPr>
      <t>检测日期：</t>
    </r>
    <r>
      <rPr>
        <sz val="10.5"/>
        <color theme="1"/>
        <rFont val="Times New Roman"/>
        <family val="3"/>
      </rPr>
      <t>2025/09/03</t>
    </r>
    <phoneticPr fontId="16" type="noConversion"/>
  </si>
  <si>
    <r>
      <rPr>
        <sz val="10.5"/>
        <rFont val="宋体"/>
        <family val="3"/>
        <charset val="134"/>
      </rPr>
      <t>试验条件：全血样品在冰浴白光下放置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小时后的稳定性</t>
    </r>
    <phoneticPr fontId="4" type="noConversion"/>
  </si>
  <si>
    <r>
      <rPr>
        <sz val="10.5"/>
        <rFont val="Yu Gothic"/>
        <family val="2"/>
        <charset val="128"/>
      </rPr>
      <t>工作液</t>
    </r>
    <r>
      <rPr>
        <sz val="10.5"/>
        <rFont val="宋体"/>
        <family val="3"/>
        <charset val="134"/>
      </rPr>
      <t>浓</t>
    </r>
    <r>
      <rPr>
        <sz val="10.5"/>
        <rFont val="Yu Gothic"/>
        <family val="2"/>
        <charset val="128"/>
      </rPr>
      <t>度：</t>
    </r>
    <r>
      <rPr>
        <sz val="10.5"/>
        <rFont val="Times New Roman"/>
        <family val="1"/>
      </rPr>
      <t>2500.000 ng/mL</t>
    </r>
    <phoneticPr fontId="4" type="noConversion"/>
  </si>
  <si>
    <t>Only ULOQ 1</t>
    <phoneticPr fontId="4" type="noConversion"/>
  </si>
  <si>
    <t>Only ULOQ 2</t>
  </si>
  <si>
    <t>Only ULOQ 3</t>
  </si>
  <si>
    <t>#13.346</t>
    <phoneticPr fontId="4" type="noConversion"/>
  </si>
  <si>
    <t>#187.493</t>
    <phoneticPr fontId="4" type="noConversion"/>
  </si>
  <si>
    <t>#2639.342</t>
    <phoneticPr fontId="4" type="noConversion"/>
  </si>
  <si>
    <t>#2873.337</t>
    <phoneticPr fontId="4" type="noConversion"/>
  </si>
  <si>
    <t>#189.806</t>
    <phoneticPr fontId="4" type="noConversion"/>
  </si>
  <si>
    <t>接受批：</t>
    <phoneticPr fontId="4" type="noConversion"/>
  </si>
  <si>
    <t>拒绝批：</t>
    <phoneticPr fontId="4" type="noConversion"/>
  </si>
  <si>
    <r>
      <rPr>
        <sz val="10.5"/>
        <color theme="1"/>
        <rFont val="宋体"/>
        <family val="3"/>
        <charset val="134"/>
      </rPr>
      <t>注：拒绝原因见表</t>
    </r>
    <r>
      <rPr>
        <sz val="10.5"/>
        <color theme="1"/>
        <rFont val="Times New Roman"/>
        <family val="1"/>
      </rPr>
      <t>1</t>
    </r>
  </si>
  <si>
    <t>失败批：</t>
    <phoneticPr fontId="16" type="noConversion"/>
  </si>
  <si>
    <t>成功批：</t>
    <phoneticPr fontId="16" type="noConversion"/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</si>
  <si>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宋体"/>
        <family val="1"/>
        <charset val="134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宋体"/>
        <family val="2"/>
        <charset val="134"/>
      </rPr>
      <t>3</t>
    </r>
    <phoneticPr fontId="4" type="noConversion"/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</si>
  <si>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宋体"/>
        <family val="1"/>
        <charset val="134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宋体"/>
        <family val="2"/>
        <charset val="134"/>
      </rPr>
      <t>6</t>
    </r>
    <phoneticPr fontId="4" type="noConversion"/>
  </si>
  <si>
    <t>RENS25315-AS</t>
    <phoneticPr fontId="16" type="noConversion"/>
  </si>
  <si>
    <r>
      <t>Run2</t>
    </r>
    <r>
      <rPr>
        <sz val="10.5"/>
        <rFont val="宋体"/>
        <family val="1"/>
        <charset val="134"/>
      </rPr>
      <t>质控样品峰面积</t>
    </r>
    <phoneticPr fontId="16" type="noConversion"/>
  </si>
  <si>
    <r>
      <t>Run3</t>
    </r>
    <r>
      <rPr>
        <sz val="10.5"/>
        <rFont val="宋体"/>
        <family val="1"/>
        <charset val="134"/>
      </rPr>
      <t>提取后样品峰面积</t>
    </r>
    <phoneticPr fontId="16" type="noConversion"/>
  </si>
  <si>
    <t>LQC</t>
    <phoneticPr fontId="16" type="noConversion"/>
  </si>
  <si>
    <t>MQC</t>
    <phoneticPr fontId="16" type="noConversion"/>
  </si>
  <si>
    <t>HQC</t>
    <phoneticPr fontId="16" type="noConversion"/>
  </si>
  <si>
    <t>Run3/Run2</t>
    <phoneticPr fontId="16" type="noConversion"/>
  </si>
  <si>
    <t>失败批：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</si>
</sst>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0.000000_ "/>
    <numFmt numFmtId="184" formatCode="[$-409]dd\-mmm\-yy;@"/>
    <numFmt numFmtId="185" formatCode="yyyy/mm/dd\ hh:mm"/>
    <numFmt numFmtId="186" formatCode="0.00;[Red]0.00"/>
    <numFmt numFmtId="187" formatCode="0.0%"/>
  </numFmts>
  <fonts count="54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MS Sans Serif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9"/>
      <name val="DengXian"/>
      <family val="2"/>
    </font>
    <font>
      <sz val="10.5"/>
      <color theme="1"/>
      <name val="Times New Roman"/>
      <family val="3"/>
      <charset val="134"/>
    </font>
    <font>
      <sz val="10.5"/>
      <name val="宋体"/>
      <family val="1"/>
      <charset val="134"/>
    </font>
    <font>
      <sz val="10.5"/>
      <name val="Yu Gothic"/>
      <family val="2"/>
      <charset val="128"/>
    </font>
    <font>
      <sz val="10.5"/>
      <name val="Times New Roman"/>
      <family val="2"/>
      <charset val="128"/>
    </font>
    <font>
      <sz val="10.5"/>
      <name val="Times New Roman"/>
      <family val="1"/>
      <charset val="134"/>
    </font>
    <font>
      <sz val="11"/>
      <name val="DengXian"/>
      <family val="2"/>
      <scheme val="minor"/>
    </font>
    <font>
      <sz val="10.5"/>
      <color theme="1"/>
      <name val="Times New Roman"/>
      <family val="3"/>
    </font>
    <font>
      <sz val="10.5"/>
      <color rgb="FF000000"/>
      <name val="等线"/>
      <family val="3"/>
      <charset val="134"/>
    </font>
    <font>
      <sz val="10.5"/>
      <name val="宋体"/>
      <family val="2"/>
      <charset val="134"/>
    </font>
    <font>
      <sz val="10.5"/>
      <color theme="1"/>
      <name val="宋体"/>
      <family val="1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8">
    <xf numFmtId="0" fontId="0" fillId="0" borderId="0"/>
    <xf numFmtId="0" fontId="7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14" fillId="0" borderId="0"/>
    <xf numFmtId="0" fontId="3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/>
    <xf numFmtId="0" fontId="14" fillId="0" borderId="0"/>
    <xf numFmtId="0" fontId="23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5" fillId="7" borderId="0" applyNumberFormat="0" applyBorder="0" applyAlignment="0" applyProtection="0"/>
    <xf numFmtId="0" fontId="25" fillId="11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4" borderId="0" applyNumberFormat="0" applyBorder="0" applyAlignment="0" applyProtection="0"/>
    <xf numFmtId="0" fontId="25" fillId="8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6" fillId="2" borderId="0" applyNumberFormat="0" applyBorder="0" applyAlignment="0" applyProtection="0"/>
    <xf numFmtId="0" fontId="27" fillId="30" borderId="28" applyNumberFormat="0" applyAlignment="0" applyProtection="0"/>
    <xf numFmtId="0" fontId="28" fillId="31" borderId="31" applyNumberFormat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0" borderId="25" applyNumberFormat="0" applyFill="0" applyAlignment="0" applyProtection="0"/>
    <xf numFmtId="0" fontId="32" fillId="0" borderId="26" applyNumberFormat="0" applyFill="0" applyAlignment="0" applyProtection="0"/>
    <xf numFmtId="0" fontId="33" fillId="0" borderId="27" applyNumberFormat="0" applyFill="0" applyAlignment="0" applyProtection="0"/>
    <xf numFmtId="0" fontId="33" fillId="0" borderId="0" applyNumberFormat="0" applyFill="0" applyBorder="0" applyAlignment="0" applyProtection="0"/>
    <xf numFmtId="0" fontId="34" fillId="29" borderId="28" applyNumberFormat="0" applyAlignment="0" applyProtection="0"/>
    <xf numFmtId="0" fontId="35" fillId="0" borderId="30" applyNumberFormat="0" applyFill="0" applyAlignment="0" applyProtection="0"/>
    <xf numFmtId="0" fontId="36" fillId="28" borderId="0" applyNumberFormat="0" applyBorder="0" applyAlignment="0" applyProtection="0"/>
    <xf numFmtId="0" fontId="24" fillId="32" borderId="32" applyNumberFormat="0" applyFont="0" applyAlignment="0" applyProtection="0"/>
    <xf numFmtId="0" fontId="37" fillId="30" borderId="29" applyNumberFormat="0" applyAlignment="0" applyProtection="0"/>
    <xf numFmtId="0" fontId="38" fillId="0" borderId="0" applyNumberFormat="0" applyFill="0" applyBorder="0" applyAlignment="0" applyProtection="0"/>
    <xf numFmtId="0" fontId="39" fillId="0" borderId="33" applyNumberFormat="0" applyFill="0" applyAlignment="0" applyProtection="0"/>
    <xf numFmtId="0" fontId="40" fillId="0" borderId="0" applyNumberFormat="0" applyFill="0" applyBorder="0" applyAlignment="0" applyProtection="0"/>
    <xf numFmtId="0" fontId="42" fillId="2" borderId="0" applyNumberFormat="0" applyBorder="0" applyAlignment="0" applyProtection="0"/>
    <xf numFmtId="0" fontId="22" fillId="2" borderId="0" applyNumberFormat="0" applyBorder="0" applyAlignment="0" applyProtection="0"/>
    <xf numFmtId="0" fontId="20" fillId="0" borderId="0"/>
    <xf numFmtId="0" fontId="23" fillId="3" borderId="0" applyNumberFormat="0" applyBorder="0" applyAlignment="0" applyProtection="0">
      <alignment vertical="center"/>
    </xf>
    <xf numFmtId="0" fontId="22" fillId="2" borderId="0" applyNumberFormat="0" applyBorder="0" applyAlignment="0" applyProtection="0"/>
    <xf numFmtId="0" fontId="1" fillId="0" borderId="0">
      <alignment vertical="center"/>
    </xf>
    <xf numFmtId="0" fontId="8" fillId="2" borderId="0" applyNumberFormat="0" applyBorder="0" applyAlignment="0" applyProtection="0"/>
    <xf numFmtId="0" fontId="20" fillId="5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1" fillId="7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3" fillId="3" borderId="0" applyNumberFormat="0" applyBorder="0" applyAlignment="0" applyProtection="0"/>
    <xf numFmtId="0" fontId="20" fillId="32" borderId="32" applyNumberFormat="0" applyFont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9" fontId="2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1" fillId="7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3" fillId="3" borderId="0" applyNumberFormat="0" applyBorder="0" applyAlignment="0" applyProtection="0"/>
  </cellStyleXfs>
  <cellXfs count="199">
    <xf numFmtId="0" fontId="0" fillId="0" borderId="0" xfId="0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78" fontId="12" fillId="0" borderId="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79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180" fontId="12" fillId="0" borderId="0" xfId="0" applyNumberFormat="1" applyFont="1" applyAlignment="1">
      <alignment horizontal="right" vertical="center"/>
    </xf>
    <xf numFmtId="183" fontId="12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183" fontId="12" fillId="0" borderId="24" xfId="0" applyNumberFormat="1" applyFont="1" applyBorder="1" applyAlignment="1">
      <alignment horizontal="center" vertical="center"/>
    </xf>
    <xf numFmtId="183" fontId="12" fillId="0" borderId="22" xfId="0" applyNumberFormat="1" applyFont="1" applyBorder="1" applyAlignment="1">
      <alignment horizontal="center" vertical="center"/>
    </xf>
    <xf numFmtId="183" fontId="12" fillId="0" borderId="23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7" xfId="0" applyFont="1" applyBorder="1"/>
    <xf numFmtId="0" fontId="15" fillId="0" borderId="0" xfId="0" applyFont="1"/>
    <xf numFmtId="0" fontId="6" fillId="0" borderId="0" xfId="0" applyFont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5" fillId="0" borderId="19" xfId="0" applyFont="1" applyBorder="1" applyAlignment="1">
      <alignment horizontal="right"/>
    </xf>
    <xf numFmtId="1" fontId="15" fillId="0" borderId="19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7" xfId="0" applyFont="1" applyBorder="1" applyAlignment="1">
      <alignment horizontal="right"/>
    </xf>
    <xf numFmtId="1" fontId="15" fillId="0" borderId="7" xfId="0" applyNumberFormat="1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82" fontId="12" fillId="0" borderId="2" xfId="0" applyNumberFormat="1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76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47" fillId="0" borderId="1" xfId="5" applyFont="1" applyFill="1" applyBorder="1" applyAlignment="1">
      <alignment horizontal="center" vertical="center"/>
    </xf>
    <xf numFmtId="0" fontId="48" fillId="0" borderId="1" xfId="5" applyFont="1" applyFill="1" applyBorder="1" applyAlignment="1">
      <alignment horizontal="center" vertical="center"/>
    </xf>
    <xf numFmtId="181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41" fillId="0" borderId="0" xfId="3" applyFont="1"/>
    <xf numFmtId="0" fontId="41" fillId="0" borderId="1" xfId="0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83" fontId="12" fillId="0" borderId="1" xfId="79" applyNumberFormat="1" applyFont="1" applyBorder="1" applyAlignment="1">
      <alignment horizontal="center" vertical="center" wrapText="1"/>
    </xf>
    <xf numFmtId="177" fontId="12" fillId="0" borderId="1" xfId="79" applyNumberFormat="1" applyFont="1" applyBorder="1" applyAlignment="1">
      <alignment horizontal="center" vertical="center"/>
    </xf>
    <xf numFmtId="177" fontId="12" fillId="0" borderId="1" xfId="79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" fontId="0" fillId="0" borderId="0" xfId="0" applyNumberFormat="1"/>
    <xf numFmtId="0" fontId="10" fillId="0" borderId="2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5" fillId="0" borderId="0" xfId="0" applyFont="1"/>
    <xf numFmtId="185" fontId="12" fillId="0" borderId="0" xfId="0" applyNumberFormat="1" applyFont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41" fillId="0" borderId="0" xfId="0" applyFont="1"/>
    <xf numFmtId="0" fontId="10" fillId="0" borderId="0" xfId="0" applyFont="1" applyAlignment="1">
      <alignment horizontal="center" vertical="center" wrapText="1"/>
    </xf>
    <xf numFmtId="0" fontId="6" fillId="0" borderId="0" xfId="8" applyFont="1" applyAlignment="1">
      <alignment horizontal="center"/>
    </xf>
    <xf numFmtId="0" fontId="12" fillId="0" borderId="19" xfId="0" applyFont="1" applyBorder="1" applyAlignment="1" applyProtection="1">
      <alignment horizontal="left" vertical="center" wrapText="1"/>
      <protection locked="0"/>
    </xf>
    <xf numFmtId="0" fontId="41" fillId="0" borderId="4" xfId="0" applyFont="1" applyBorder="1" applyAlignment="1">
      <alignment horizontal="center" vertical="center" wrapText="1"/>
    </xf>
    <xf numFmtId="0" fontId="51" fillId="0" borderId="3" xfId="82" applyFont="1" applyBorder="1" applyAlignment="1">
      <alignment horizontal="center" vertical="center" wrapText="1"/>
    </xf>
    <xf numFmtId="0" fontId="51" fillId="0" borderId="2" xfId="82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 applyProtection="1">
      <alignment horizontal="center" vertical="center"/>
      <protection locked="0"/>
    </xf>
    <xf numFmtId="182" fontId="12" fillId="0" borderId="1" xfId="0" applyNumberFormat="1" applyFont="1" applyBorder="1" applyAlignment="1" applyProtection="1">
      <alignment horizontal="center" vertical="center"/>
      <protection locked="0"/>
    </xf>
    <xf numFmtId="177" fontId="12" fillId="0" borderId="1" xfId="0" applyNumberFormat="1" applyFont="1" applyBorder="1" applyAlignment="1" applyProtection="1">
      <alignment horizontal="center" vertical="center"/>
      <protection locked="0"/>
    </xf>
    <xf numFmtId="183" fontId="12" fillId="0" borderId="0" xfId="0" applyNumberFormat="1" applyFont="1" applyAlignment="1">
      <alignment vertical="center"/>
    </xf>
    <xf numFmtId="183" fontId="5" fillId="0" borderId="1" xfId="79" applyNumberFormat="1" applyFont="1" applyBorder="1" applyAlignment="1">
      <alignment horizontal="center" vertical="center" wrapText="1"/>
    </xf>
    <xf numFmtId="183" fontId="12" fillId="0" borderId="1" xfId="79" applyNumberFormat="1" applyFont="1" applyBorder="1" applyAlignment="1">
      <alignment horizontal="center" vertical="center"/>
    </xf>
    <xf numFmtId="183" fontId="12" fillId="0" borderId="0" xfId="0" applyNumberFormat="1" applyFont="1" applyAlignment="1">
      <alignment horizontal="left" vertical="center"/>
    </xf>
    <xf numFmtId="183" fontId="12" fillId="0" borderId="0" xfId="0" applyNumberFormat="1" applyFont="1" applyAlignment="1">
      <alignment horizontal="right" vertical="center"/>
    </xf>
    <xf numFmtId="183" fontId="49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vertical="center"/>
    </xf>
    <xf numFmtId="177" fontId="12" fillId="0" borderId="0" xfId="0" applyNumberFormat="1" applyFont="1" applyAlignment="1">
      <alignment horizontal="right" vertical="center"/>
    </xf>
    <xf numFmtId="177" fontId="49" fillId="0" borderId="0" xfId="0" applyNumberFormat="1" applyFont="1" applyAlignment="1">
      <alignment horizontal="center" vertical="center"/>
    </xf>
    <xf numFmtId="186" fontId="12" fillId="0" borderId="0" xfId="0" applyNumberFormat="1" applyFont="1"/>
    <xf numFmtId="177" fontId="10" fillId="0" borderId="0" xfId="0" applyNumberFormat="1" applyFont="1"/>
    <xf numFmtId="177" fontId="12" fillId="0" borderId="0" xfId="0" applyNumberFormat="1" applyFont="1"/>
    <xf numFmtId="177" fontId="12" fillId="0" borderId="0" xfId="0" applyNumberFormat="1" applyFont="1" applyAlignment="1">
      <alignment horizontal="left"/>
    </xf>
    <xf numFmtId="177" fontId="10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18" fillId="0" borderId="0" xfId="7" applyFont="1" applyAlignment="1">
      <alignment horizontal="center" vertical="center"/>
    </xf>
    <xf numFmtId="184" fontId="18" fillId="0" borderId="0" xfId="8" applyNumberFormat="1" applyFont="1" applyAlignment="1">
      <alignment horizontal="center"/>
    </xf>
    <xf numFmtId="182" fontId="12" fillId="0" borderId="20" xfId="0" applyNumberFormat="1" applyFont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center" wrapText="1"/>
      <protection locked="0"/>
    </xf>
    <xf numFmtId="0" fontId="44" fillId="0" borderId="0" xfId="0" applyFont="1"/>
    <xf numFmtId="0" fontId="41" fillId="0" borderId="0" xfId="0" applyFont="1" applyAlignment="1">
      <alignment horizontal="left"/>
    </xf>
    <xf numFmtId="0" fontId="45" fillId="0" borderId="0" xfId="0" applyFont="1" applyAlignment="1">
      <alignment vertical="center"/>
    </xf>
    <xf numFmtId="179" fontId="12" fillId="0" borderId="1" xfId="79" applyNumberFormat="1" applyFont="1" applyBorder="1" applyAlignment="1">
      <alignment horizontal="center" vertical="center" wrapText="1"/>
    </xf>
    <xf numFmtId="179" fontId="12" fillId="0" borderId="1" xfId="79" applyNumberFormat="1" applyFont="1" applyBorder="1" applyAlignment="1">
      <alignment horizontal="center" vertical="center"/>
    </xf>
    <xf numFmtId="9" fontId="12" fillId="0" borderId="1" xfId="112" applyFont="1" applyBorder="1" applyAlignment="1">
      <alignment horizontal="center" vertical="center" wrapText="1"/>
    </xf>
    <xf numFmtId="0" fontId="53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79" fontId="12" fillId="0" borderId="1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5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left" vertical="center" wrapText="1"/>
      <protection locked="0"/>
    </xf>
    <xf numFmtId="0" fontId="12" fillId="0" borderId="19" xfId="0" applyFont="1" applyBorder="1" applyAlignment="1" applyProtection="1">
      <alignment horizontal="left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81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left" vertical="center"/>
    </xf>
    <xf numFmtId="187" fontId="12" fillId="0" borderId="1" xfId="112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177" fontId="49" fillId="0" borderId="1" xfId="0" applyNumberFormat="1" applyFont="1" applyBorder="1" applyAlignment="1">
      <alignment horizontal="center" vertical="center"/>
    </xf>
    <xf numFmtId="0" fontId="48" fillId="0" borderId="4" xfId="79" applyFont="1" applyBorder="1" applyAlignment="1">
      <alignment horizontal="left" vertical="center" wrapText="1"/>
    </xf>
    <xf numFmtId="0" fontId="12" fillId="0" borderId="8" xfId="79" applyFont="1" applyBorder="1" applyAlignment="1">
      <alignment horizontal="left" vertical="center" wrapText="1"/>
    </xf>
    <xf numFmtId="0" fontId="12" fillId="0" borderId="6" xfId="79" applyFont="1" applyBorder="1" applyAlignment="1">
      <alignment horizontal="left" vertical="center" wrapText="1"/>
    </xf>
    <xf numFmtId="183" fontId="12" fillId="0" borderId="13" xfId="79" applyNumberFormat="1" applyFont="1" applyBorder="1" applyAlignment="1">
      <alignment horizontal="center" vertical="center" wrapText="1"/>
    </xf>
    <xf numFmtId="183" fontId="12" fillId="0" borderId="14" xfId="79" applyNumberFormat="1" applyFont="1" applyBorder="1" applyAlignment="1">
      <alignment horizontal="center" vertical="center" wrapText="1"/>
    </xf>
    <xf numFmtId="183" fontId="12" fillId="0" borderId="17" xfId="79" applyNumberFormat="1" applyFont="1" applyBorder="1" applyAlignment="1">
      <alignment horizontal="center" vertical="center" wrapText="1"/>
    </xf>
    <xf numFmtId="183" fontId="12" fillId="0" borderId="18" xfId="79" applyNumberFormat="1" applyFont="1" applyBorder="1" applyAlignment="1">
      <alignment horizontal="center" vertical="center" wrapText="1"/>
    </xf>
    <xf numFmtId="0" fontId="12" fillId="0" borderId="5" xfId="79" applyFont="1" applyBorder="1" applyAlignment="1">
      <alignment horizontal="center" vertical="center" wrapText="1"/>
    </xf>
    <xf numFmtId="0" fontId="12" fillId="0" borderId="4" xfId="79" applyFont="1" applyBorder="1" applyAlignment="1">
      <alignment horizontal="center" vertical="center" wrapText="1"/>
    </xf>
    <xf numFmtId="0" fontId="12" fillId="0" borderId="8" xfId="79" applyFont="1" applyBorder="1" applyAlignment="1">
      <alignment horizontal="center" vertical="center" wrapText="1"/>
    </xf>
    <xf numFmtId="0" fontId="12" fillId="0" borderId="6" xfId="79" applyFont="1" applyBorder="1" applyAlignment="1">
      <alignment horizontal="center" vertical="center" wrapText="1"/>
    </xf>
    <xf numFmtId="0" fontId="12" fillId="0" borderId="1" xfId="79" applyFont="1" applyBorder="1" applyAlignment="1">
      <alignment horizontal="center" vertical="center" wrapText="1"/>
    </xf>
    <xf numFmtId="0" fontId="48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7" fontId="12" fillId="0" borderId="10" xfId="0" applyNumberFormat="1" applyFont="1" applyBorder="1" applyAlignment="1">
      <alignment horizontal="center" vertical="center" wrapText="1"/>
    </xf>
    <xf numFmtId="177" fontId="12" fillId="0" borderId="11" xfId="0" applyNumberFormat="1" applyFont="1" applyBorder="1" applyAlignment="1">
      <alignment horizontal="center" vertical="center" wrapText="1"/>
    </xf>
    <xf numFmtId="177" fontId="12" fillId="0" borderId="1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/>
    </xf>
    <xf numFmtId="181" fontId="12" fillId="0" borderId="2" xfId="0" applyNumberFormat="1" applyFont="1" applyBorder="1" applyAlignment="1">
      <alignment horizontal="center" vertical="center" wrapText="1"/>
    </xf>
    <xf numFmtId="181" fontId="12" fillId="0" borderId="9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38">
    <cellStyle name="20% - Accent1" xfId="36" xr:uid="{00000000-0005-0000-0000-000000000000}"/>
    <cellStyle name="20% - Accent1 2" xfId="84" xr:uid="{C67DC8E0-68E6-4CCE-B724-770E6D134028}"/>
    <cellStyle name="20% - Accent1_表11_Recovery" xfId="113" xr:uid="{5D7E5B4F-8D4B-4773-AB04-1E972141D864}"/>
    <cellStyle name="20% - Accent2" xfId="37" xr:uid="{00000000-0005-0000-0000-000001000000}"/>
    <cellStyle name="20% - Accent2 2" xfId="85" xr:uid="{D1A45D99-E67B-4A53-9B9B-58D269C613BA}"/>
    <cellStyle name="20% - Accent2_表11_Recovery" xfId="114" xr:uid="{5C18EFBD-F55D-47A1-9831-F923FCCACA66}"/>
    <cellStyle name="20% - Accent3" xfId="38" xr:uid="{00000000-0005-0000-0000-000002000000}"/>
    <cellStyle name="20% - Accent3 2" xfId="86" xr:uid="{A7B4D64C-8D3E-40E1-87D9-ADAF4DCAEDF9}"/>
    <cellStyle name="20% - Accent3_表11_Recovery" xfId="115" xr:uid="{DE94E045-06FE-4ACA-A570-BAB62AC898AA}"/>
    <cellStyle name="20% - Accent4" xfId="39" xr:uid="{00000000-0005-0000-0000-000003000000}"/>
    <cellStyle name="20% - Accent4 2" xfId="87" xr:uid="{D8D184FE-0C36-4D05-9367-057FD71B165E}"/>
    <cellStyle name="20% - Accent4_表11_Recovery" xfId="116" xr:uid="{15F51E73-963C-46E5-BEAA-BDB4140DCC1A}"/>
    <cellStyle name="20% - Accent5" xfId="40" xr:uid="{00000000-0005-0000-0000-000004000000}"/>
    <cellStyle name="20% - Accent5 2" xfId="88" xr:uid="{35CB6406-636C-411E-886F-CBF185571BBD}"/>
    <cellStyle name="20% - Accent5_表11_Recovery" xfId="117" xr:uid="{57A04326-F980-43F5-B166-409CD7C9F629}"/>
    <cellStyle name="20% - Accent6" xfId="41" xr:uid="{00000000-0005-0000-0000-000005000000}"/>
    <cellStyle name="20% - Accent6 2" xfId="89" xr:uid="{8220ED5B-ED05-4A4B-91DA-156A525BAF4E}"/>
    <cellStyle name="20% - Accent6_表11_Recovery" xfId="118" xr:uid="{0A8D12A8-A524-4001-97BA-65F626D166A6}"/>
    <cellStyle name="20% - 强调文字颜色 1" xfId="9" xr:uid="{00000000-0005-0000-0000-000006000000}"/>
    <cellStyle name="20% - 强调文字颜色 2" xfId="10" xr:uid="{00000000-0005-0000-0000-000007000000}"/>
    <cellStyle name="20% - 强调文字颜色 3" xfId="11" xr:uid="{00000000-0005-0000-0000-000008000000}"/>
    <cellStyle name="20% - 强调文字颜色 4" xfId="12" xr:uid="{00000000-0005-0000-0000-000009000000}"/>
    <cellStyle name="20% - 强调文字颜色 5" xfId="13" xr:uid="{00000000-0005-0000-0000-00000A000000}"/>
    <cellStyle name="20% - 强调文字颜色 6" xfId="14" xr:uid="{00000000-0005-0000-0000-00000B000000}"/>
    <cellStyle name="40% - Accent1" xfId="42" xr:uid="{00000000-0005-0000-0000-00000C000000}"/>
    <cellStyle name="40% - Accent1 2" xfId="90" xr:uid="{9EA0BF9D-B950-4E1B-8FF8-CD45C530EEFD}"/>
    <cellStyle name="40% - Accent1_表11_Recovery" xfId="119" xr:uid="{C91E2D2F-7F8C-43F4-9B0A-5C8F2C8355F5}"/>
    <cellStyle name="40% - Accent2" xfId="43" xr:uid="{00000000-0005-0000-0000-00000D000000}"/>
    <cellStyle name="40% - Accent2 2" xfId="91" xr:uid="{72811840-D62B-4A3C-BE32-022725B78224}"/>
    <cellStyle name="40% - Accent2_表11_Recovery" xfId="120" xr:uid="{21562616-55F0-4120-8695-0D0FF17D3B0C}"/>
    <cellStyle name="40% - Accent3" xfId="44" xr:uid="{00000000-0005-0000-0000-00000E000000}"/>
    <cellStyle name="40% - Accent3 2" xfId="92" xr:uid="{4EEC8CCD-12AA-406E-A89A-76A292E3A906}"/>
    <cellStyle name="40% - Accent3_表11_Recovery" xfId="121" xr:uid="{21241F9A-59BA-49A1-8CCD-FB4B3DB377A6}"/>
    <cellStyle name="40% - Accent4" xfId="45" xr:uid="{00000000-0005-0000-0000-00000F000000}"/>
    <cellStyle name="40% - Accent4 2" xfId="93" xr:uid="{91B5ECCD-A1D2-4D21-B5A4-4729372E65DF}"/>
    <cellStyle name="40% - Accent4_表11_Recovery" xfId="122" xr:uid="{4559EA51-31D0-4245-94D5-1B3F94103E8E}"/>
    <cellStyle name="40% - Accent5" xfId="46" xr:uid="{00000000-0005-0000-0000-000010000000}"/>
    <cellStyle name="40% - Accent5 2" xfId="94" xr:uid="{F15F0BA8-E6CF-4E1E-AAAB-7D9A8B191B78}"/>
    <cellStyle name="40% - Accent5_表11_Recovery" xfId="123" xr:uid="{CDEC6A4A-D307-4E7A-A190-9DB5F642ECBD}"/>
    <cellStyle name="40% - Accent6" xfId="47" xr:uid="{00000000-0005-0000-0000-000011000000}"/>
    <cellStyle name="40% - Accent6 2" xfId="95" xr:uid="{9B74AE4B-DC1E-4180-82D2-A386E4C264EF}"/>
    <cellStyle name="40% - Accent6_表11_Recovery" xfId="124" xr:uid="{CE6E07B8-D6B1-4EAA-9FCB-13C559DE9348}"/>
    <cellStyle name="40% - 强调文字颜色 1" xfId="15" xr:uid="{00000000-0005-0000-0000-000012000000}"/>
    <cellStyle name="40% - 强调文字颜色 2" xfId="16" xr:uid="{00000000-0005-0000-0000-000013000000}"/>
    <cellStyle name="40% - 强调文字颜色 3" xfId="17" xr:uid="{00000000-0005-0000-0000-000014000000}"/>
    <cellStyle name="40% - 强调文字颜色 4" xfId="18" xr:uid="{00000000-0005-0000-0000-000015000000}"/>
    <cellStyle name="40% - 强调文字颜色 5" xfId="19" xr:uid="{00000000-0005-0000-0000-000016000000}"/>
    <cellStyle name="40% - 强调文字颜色 6" xfId="20" xr:uid="{00000000-0005-0000-0000-000017000000}"/>
    <cellStyle name="60% - Accent1" xfId="48" xr:uid="{00000000-0005-0000-0000-000018000000}"/>
    <cellStyle name="60% - Accent1 2" xfId="96" xr:uid="{627B581F-FE5B-44D9-9750-8C03F3E7374A}"/>
    <cellStyle name="60% - Accent1_表11_Recovery" xfId="125" xr:uid="{F5EBAFE5-5A47-4E28-BD56-9D3E7E11E42E}"/>
    <cellStyle name="60% - Accent2" xfId="49" xr:uid="{00000000-0005-0000-0000-000019000000}"/>
    <cellStyle name="60% - Accent2 2" xfId="97" xr:uid="{9AD07A1A-3B89-4A69-AD4F-552FE1353ABE}"/>
    <cellStyle name="60% - Accent2_表11_Recovery" xfId="126" xr:uid="{025215C9-0DB5-45E7-9411-595E62701CFE}"/>
    <cellStyle name="60% - Accent3" xfId="50" xr:uid="{00000000-0005-0000-0000-00001A000000}"/>
    <cellStyle name="60% - Accent3 2" xfId="98" xr:uid="{45549273-E467-44D2-90D7-3BAEED1372D4}"/>
    <cellStyle name="60% - Accent3_表11_Recovery" xfId="127" xr:uid="{2C58C9A0-8309-4E0B-89E1-CE871F49F3D4}"/>
    <cellStyle name="60% - Accent4" xfId="51" xr:uid="{00000000-0005-0000-0000-00001B000000}"/>
    <cellStyle name="60% - Accent4 2" xfId="99" xr:uid="{EEF9E686-FD57-4119-8602-C7174B271C15}"/>
    <cellStyle name="60% - Accent4_表11_Recovery" xfId="128" xr:uid="{E1955EAE-FF2E-4D66-A669-B2B73B1A19DE}"/>
    <cellStyle name="60% - Accent5" xfId="52" xr:uid="{00000000-0005-0000-0000-00001C000000}"/>
    <cellStyle name="60% - Accent5 2" xfId="100" xr:uid="{158E192F-83FA-4EF9-8495-AD7B8FFE6749}"/>
    <cellStyle name="60% - Accent5_表11_Recovery" xfId="129" xr:uid="{CD6E6954-EC26-471E-A09A-58E3BABA50D1}"/>
    <cellStyle name="60% - Accent6" xfId="53" xr:uid="{00000000-0005-0000-0000-00001D000000}"/>
    <cellStyle name="60% - Accent6 2" xfId="101" xr:uid="{02634CB4-7324-4339-9063-C45A6E9E78CA}"/>
    <cellStyle name="60% - Accent6_表11_Recovery" xfId="130" xr:uid="{226D40E8-D9C5-475A-B99D-E772365AD6F9}"/>
    <cellStyle name="60% - 强调文字颜色 1" xfId="21" xr:uid="{00000000-0005-0000-0000-00001E000000}"/>
    <cellStyle name="60% - 强调文字颜色 2" xfId="22" xr:uid="{00000000-0005-0000-0000-00001F000000}"/>
    <cellStyle name="60% - 强调文字颜色 3" xfId="23" xr:uid="{00000000-0005-0000-0000-000020000000}"/>
    <cellStyle name="60% - 强调文字颜色 4" xfId="24" xr:uid="{00000000-0005-0000-0000-000021000000}"/>
    <cellStyle name="60% - 强调文字颜色 5" xfId="25" xr:uid="{00000000-0005-0000-0000-000022000000}"/>
    <cellStyle name="60% - 强调文字颜色 6" xfId="26" xr:uid="{00000000-0005-0000-0000-000023000000}"/>
    <cellStyle name="Accent1" xfId="54" xr:uid="{00000000-0005-0000-0000-000024000000}"/>
    <cellStyle name="Accent1 2" xfId="102" xr:uid="{1B13D2A5-5420-46CB-B92E-062345E0246A}"/>
    <cellStyle name="Accent1_表11_Recovery" xfId="131" xr:uid="{2372C9C6-BD23-4F14-BFBA-876BC18724DD}"/>
    <cellStyle name="Accent2" xfId="55" xr:uid="{00000000-0005-0000-0000-000025000000}"/>
    <cellStyle name="Accent2 2" xfId="103" xr:uid="{08B8D137-E440-43BB-A52F-2E33B8A66135}"/>
    <cellStyle name="Accent2_表11_Recovery" xfId="132" xr:uid="{0C255577-7517-4A0F-A41B-CC4A2B89249C}"/>
    <cellStyle name="Accent3" xfId="56" xr:uid="{00000000-0005-0000-0000-000026000000}"/>
    <cellStyle name="Accent3 2" xfId="104" xr:uid="{B6BDAF72-98E9-4B9A-86BC-88E4B68EA419}"/>
    <cellStyle name="Accent3_表11_Recovery" xfId="133" xr:uid="{EF204090-7735-4739-863E-FF5C722E6EDE}"/>
    <cellStyle name="Accent4" xfId="57" xr:uid="{00000000-0005-0000-0000-000027000000}"/>
    <cellStyle name="Accent4 2" xfId="105" xr:uid="{B3F342B7-1C4D-4BC7-9659-21E8EB6A6895}"/>
    <cellStyle name="Accent4_表11_Recovery" xfId="134" xr:uid="{AFF3B898-4EE1-4E38-87C5-25F31A17D555}"/>
    <cellStyle name="Accent5" xfId="58" xr:uid="{00000000-0005-0000-0000-000028000000}"/>
    <cellStyle name="Accent5 2" xfId="106" xr:uid="{8D64DAE9-41B5-4DDA-9416-FE8918F318B2}"/>
    <cellStyle name="Accent5_表11_Recovery" xfId="135" xr:uid="{9EAA1C40-CB8E-45CD-A2D2-AD53AAB5D033}"/>
    <cellStyle name="Accent6" xfId="59" xr:uid="{00000000-0005-0000-0000-000029000000}"/>
    <cellStyle name="Accent6 2" xfId="107" xr:uid="{6784C7D6-9B2A-4E3A-AB15-B9AAE40B0893}"/>
    <cellStyle name="Accent6_表11_Recovery" xfId="136" xr:uid="{7E64A009-A4B4-4C21-B7C5-79FDBFFB08B0}"/>
    <cellStyle name="Bad" xfId="60" xr:uid="{00000000-0005-0000-0000-00002A000000}"/>
    <cellStyle name="Bad 2" xfId="1" xr:uid="{00000000-0005-0000-0000-00002B000000}"/>
    <cellStyle name="Bad_表11_Recovery" xfId="77" xr:uid="{00000000-0005-0000-0000-00002C000000}"/>
    <cellStyle name="Calculation" xfId="61" xr:uid="{00000000-0005-0000-0000-00002D000000}"/>
    <cellStyle name="Check Cell" xfId="62" xr:uid="{00000000-0005-0000-0000-00002E000000}"/>
    <cellStyle name="Explanatory Text" xfId="63" xr:uid="{00000000-0005-0000-0000-00002F000000}"/>
    <cellStyle name="Good" xfId="64" xr:uid="{00000000-0005-0000-0000-000030000000}"/>
    <cellStyle name="Good 2" xfId="108" xr:uid="{A1EBF6CF-8C35-4951-AA12-9BC00A4247C1}"/>
    <cellStyle name="Good_表11_Recovery" xfId="137" xr:uid="{6B135472-CFFE-451A-9E01-F954E0A51873}"/>
    <cellStyle name="Heading 1" xfId="65" xr:uid="{00000000-0005-0000-0000-000031000000}"/>
    <cellStyle name="Heading 2" xfId="66" xr:uid="{00000000-0005-0000-0000-000032000000}"/>
    <cellStyle name="Heading 3" xfId="67" xr:uid="{00000000-0005-0000-0000-000033000000}"/>
    <cellStyle name="Heading 4" xfId="68" xr:uid="{00000000-0005-0000-0000-000034000000}"/>
    <cellStyle name="Input" xfId="69" xr:uid="{00000000-0005-0000-0000-000035000000}"/>
    <cellStyle name="Linked Cell" xfId="70" xr:uid="{00000000-0005-0000-0000-000036000000}"/>
    <cellStyle name="Neutral" xfId="71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rmal_TABLE2" xfId="8" xr:uid="{00000000-0005-0000-0000-00003B000000}"/>
    <cellStyle name="Note" xfId="72" xr:uid="{00000000-0005-0000-0000-00003C000000}"/>
    <cellStyle name="Note 2" xfId="109" xr:uid="{BD93D23C-1180-4140-A77D-96A41F492A7F}"/>
    <cellStyle name="Output" xfId="73" xr:uid="{00000000-0005-0000-0000-00003D000000}"/>
    <cellStyle name="Percent 2" xfId="4" xr:uid="{00000000-0005-0000-0000-00003E000000}"/>
    <cellStyle name="Title" xfId="74" xr:uid="{00000000-0005-0000-0000-00003F000000}"/>
    <cellStyle name="Total" xfId="75" xr:uid="{00000000-0005-0000-0000-000040000000}"/>
    <cellStyle name="Warning Text" xfId="76" xr:uid="{00000000-0005-0000-0000-000041000000}"/>
    <cellStyle name="百分比" xfId="112" builtinId="5"/>
    <cellStyle name="差" xfId="5" builtinId="27"/>
    <cellStyle name="差_1.1" xfId="27" xr:uid="{00000000-0005-0000-0000-000043000000}"/>
    <cellStyle name="差_1.1 2" xfId="83" xr:uid="{41138FA4-6A68-4341-A19E-E33243BC886F}"/>
    <cellStyle name="差_表11_Recovery" xfId="78" xr:uid="{00000000-0005-0000-0000-000044000000}"/>
    <cellStyle name="差_表11_Recovery 2" xfId="110" xr:uid="{FDAB7B8F-4CC7-4155-A4E9-7AEE423211AF}"/>
    <cellStyle name="差_表25_干扰" xfId="81" xr:uid="{00000000-0005-0000-0000-000045000000}"/>
    <cellStyle name="差_表25_干扰 2" xfId="111" xr:uid="{FA79B1B1-5A5B-485A-966C-099249E2BC93}"/>
    <cellStyle name="常规" xfId="0" builtinId="0"/>
    <cellStyle name="常规 2" xfId="28" xr:uid="{00000000-0005-0000-0000-000047000000}"/>
    <cellStyle name="常规 2 2" xfId="6" xr:uid="{00000000-0005-0000-0000-000048000000}"/>
    <cellStyle name="常规 3" xfId="82" xr:uid="{33EE301E-D480-4452-81AA-E4E298A8B23B}"/>
    <cellStyle name="常规_表11_Recovery" xfId="79" xr:uid="{00000000-0005-0000-0000-000049000000}"/>
    <cellStyle name="好_1.1" xfId="29" xr:uid="{00000000-0005-0000-0000-00004A000000}"/>
    <cellStyle name="好_表11_Recovery" xfId="80" xr:uid="{00000000-0005-0000-0000-00004B000000}"/>
    <cellStyle name="强调文字颜色 1" xfId="30" xr:uid="{00000000-0005-0000-0000-00004C000000}"/>
    <cellStyle name="强调文字颜色 2" xfId="31" xr:uid="{00000000-0005-0000-0000-00004D000000}"/>
    <cellStyle name="强调文字颜色 3" xfId="32" xr:uid="{00000000-0005-0000-0000-00004E000000}"/>
    <cellStyle name="强调文字颜色 4" xfId="33" xr:uid="{00000000-0005-0000-0000-00004F000000}"/>
    <cellStyle name="强调文字颜色 5" xfId="34" xr:uid="{00000000-0005-0000-0000-000050000000}"/>
    <cellStyle name="强调文字颜色 6" xfId="35" xr:uid="{00000000-0005-0000-0000-00005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H26"/>
  <sheetViews>
    <sheetView tabSelected="1" zoomScaleNormal="100" zoomScaleSheetLayoutView="120" workbookViewId="0">
      <selection activeCell="I13" sqref="I13"/>
    </sheetView>
  </sheetViews>
  <sheetFormatPr defaultColWidth="8.86328125" defaultRowHeight="13.5"/>
  <cols>
    <col min="1" max="1" width="8.73046875" style="21" customWidth="1"/>
    <col min="2" max="2" width="24.265625" style="21" customWidth="1"/>
    <col min="3" max="3" width="10.3984375" style="21" customWidth="1"/>
    <col min="4" max="4" width="20.59765625" style="21" customWidth="1"/>
    <col min="5" max="6" width="10.3984375" style="21" customWidth="1"/>
    <col min="7" max="7" width="26.46484375" style="21" customWidth="1"/>
    <col min="8" max="8" width="10.3984375" style="21" customWidth="1"/>
    <col min="9" max="16384" width="8.86328125" style="21"/>
  </cols>
  <sheetData>
    <row r="1" spans="1:8" ht="15" customHeight="1"/>
    <row r="2" spans="1:8" ht="15" customHeight="1">
      <c r="A2" s="122" t="s">
        <v>29</v>
      </c>
      <c r="B2" s="122"/>
      <c r="C2" s="122"/>
      <c r="G2" s="87"/>
    </row>
    <row r="3" spans="1:8" ht="15" customHeight="1">
      <c r="A3" s="22"/>
      <c r="B3" s="22"/>
      <c r="C3" s="22"/>
      <c r="G3" s="86"/>
    </row>
    <row r="4" spans="1:8" ht="15" customHeight="1">
      <c r="A4" s="22" t="s">
        <v>115</v>
      </c>
      <c r="C4" s="21" t="s">
        <v>73</v>
      </c>
    </row>
    <row r="5" spans="1:8" ht="15" customHeight="1">
      <c r="A5" s="124" t="s">
        <v>30</v>
      </c>
      <c r="B5" s="125"/>
      <c r="C5" s="125"/>
      <c r="D5" s="125"/>
      <c r="E5" s="125"/>
      <c r="F5" s="125"/>
      <c r="G5" s="125"/>
      <c r="H5" s="126"/>
    </row>
    <row r="6" spans="1:8" ht="15" customHeight="1">
      <c r="A6" s="123" t="s">
        <v>10</v>
      </c>
      <c r="B6" s="123" t="s">
        <v>11</v>
      </c>
      <c r="C6" s="123" t="s">
        <v>46</v>
      </c>
      <c r="D6" s="123"/>
      <c r="E6" s="123"/>
      <c r="F6" s="123" t="s">
        <v>12</v>
      </c>
      <c r="G6" s="123"/>
      <c r="H6" s="123"/>
    </row>
    <row r="7" spans="1:8" ht="40.5">
      <c r="A7" s="123"/>
      <c r="B7" s="123"/>
      <c r="C7" s="12" t="s">
        <v>13</v>
      </c>
      <c r="D7" s="85" t="s">
        <v>116</v>
      </c>
      <c r="E7" s="12" t="s">
        <v>38</v>
      </c>
      <c r="F7" s="12" t="s">
        <v>13</v>
      </c>
      <c r="G7" s="68" t="s">
        <v>129</v>
      </c>
      <c r="H7" s="12" t="s">
        <v>38</v>
      </c>
    </row>
    <row r="8" spans="1:8" ht="15" customHeight="1">
      <c r="A8" s="12" t="s">
        <v>63</v>
      </c>
      <c r="B8" s="64" t="s">
        <v>146</v>
      </c>
      <c r="C8" s="9">
        <v>0</v>
      </c>
      <c r="D8" s="119">
        <v>8413</v>
      </c>
      <c r="E8" s="65">
        <f>ROUND(C8/$D$8*100,1)</f>
        <v>0</v>
      </c>
      <c r="F8" s="9">
        <v>0</v>
      </c>
      <c r="G8" s="119">
        <v>459114</v>
      </c>
      <c r="H8" s="65">
        <f>ROUND(F8/$G$8*100,1)</f>
        <v>0</v>
      </c>
    </row>
    <row r="9" spans="1:8" ht="15" customHeight="1">
      <c r="A9" s="12" t="s">
        <v>64</v>
      </c>
      <c r="B9" s="64" t="s">
        <v>148</v>
      </c>
      <c r="C9" s="9">
        <v>0</v>
      </c>
      <c r="D9" s="120"/>
      <c r="E9" s="65">
        <f>ROUND(C9/$D$8*100,1)</f>
        <v>0</v>
      </c>
      <c r="F9" s="9">
        <v>0</v>
      </c>
      <c r="G9" s="120"/>
      <c r="H9" s="65">
        <f t="shared" ref="H9:H13" si="0">ROUND(F9/$G$8*100,1)</f>
        <v>0</v>
      </c>
    </row>
    <row r="10" spans="1:8" ht="15" customHeight="1">
      <c r="A10" s="12" t="s">
        <v>65</v>
      </c>
      <c r="B10" s="64" t="s">
        <v>150</v>
      </c>
      <c r="C10" s="9">
        <v>0</v>
      </c>
      <c r="D10" s="120"/>
      <c r="E10" s="65">
        <f t="shared" ref="E10:E13" si="1">ROUND(C10/$D$8*100,1)</f>
        <v>0</v>
      </c>
      <c r="F10" s="9">
        <v>0</v>
      </c>
      <c r="G10" s="120"/>
      <c r="H10" s="65">
        <f t="shared" si="0"/>
        <v>0</v>
      </c>
    </row>
    <row r="11" spans="1:8" ht="15" customHeight="1">
      <c r="A11" s="12" t="s">
        <v>66</v>
      </c>
      <c r="B11" s="64" t="s">
        <v>152</v>
      </c>
      <c r="C11" s="9">
        <v>0</v>
      </c>
      <c r="D11" s="120"/>
      <c r="E11" s="65">
        <f t="shared" si="1"/>
        <v>0</v>
      </c>
      <c r="F11" s="9">
        <v>0</v>
      </c>
      <c r="G11" s="120"/>
      <c r="H11" s="65">
        <f t="shared" si="0"/>
        <v>0</v>
      </c>
    </row>
    <row r="12" spans="1:8" ht="15" customHeight="1">
      <c r="A12" s="12" t="s">
        <v>67</v>
      </c>
      <c r="B12" s="64" t="s">
        <v>153</v>
      </c>
      <c r="C12" s="9">
        <v>0</v>
      </c>
      <c r="D12" s="120"/>
      <c r="E12" s="65">
        <f t="shared" si="1"/>
        <v>0</v>
      </c>
      <c r="F12" s="9">
        <v>0</v>
      </c>
      <c r="G12" s="120"/>
      <c r="H12" s="65">
        <f t="shared" si="0"/>
        <v>0</v>
      </c>
    </row>
    <row r="13" spans="1:8" ht="15" customHeight="1">
      <c r="A13" s="12" t="s">
        <v>68</v>
      </c>
      <c r="B13" s="64" t="s">
        <v>154</v>
      </c>
      <c r="C13" s="9">
        <v>0</v>
      </c>
      <c r="D13" s="120"/>
      <c r="E13" s="65">
        <f t="shared" si="1"/>
        <v>0</v>
      </c>
      <c r="F13" s="9">
        <v>0</v>
      </c>
      <c r="G13" s="120"/>
      <c r="H13" s="65">
        <f t="shared" si="0"/>
        <v>0</v>
      </c>
    </row>
    <row r="14" spans="1:8" ht="13.9">
      <c r="A14" s="19" t="s">
        <v>69</v>
      </c>
      <c r="B14" s="66" t="s">
        <v>70</v>
      </c>
      <c r="C14" s="9">
        <v>596</v>
      </c>
      <c r="D14" s="121"/>
      <c r="E14" s="65">
        <f t="shared" ref="E14" si="2">ROUND(C14/$D$8*100,1)</f>
        <v>7.1</v>
      </c>
      <c r="F14" s="9">
        <v>0</v>
      </c>
      <c r="G14" s="121"/>
      <c r="H14" s="65">
        <f t="shared" ref="H14" si="3">ROUND(F14/$G$8*100,1)</f>
        <v>0</v>
      </c>
    </row>
    <row r="15" spans="1:8" ht="15" customHeight="1">
      <c r="D15" s="23"/>
    </row>
    <row r="16" spans="1:8" ht="15" customHeight="1">
      <c r="A16" s="22" t="s">
        <v>117</v>
      </c>
    </row>
    <row r="17" spans="1:8" ht="15" customHeight="1">
      <c r="A17" s="124" t="s">
        <v>30</v>
      </c>
      <c r="B17" s="125"/>
      <c r="C17" s="125"/>
      <c r="D17" s="125"/>
      <c r="E17" s="125"/>
      <c r="F17" s="125"/>
      <c r="G17" s="125"/>
      <c r="H17" s="126"/>
    </row>
    <row r="18" spans="1:8" ht="15" customHeight="1">
      <c r="A18" s="123" t="s">
        <v>10</v>
      </c>
      <c r="B18" s="123" t="s">
        <v>11</v>
      </c>
      <c r="C18" s="123" t="s">
        <v>46</v>
      </c>
      <c r="D18" s="123"/>
      <c r="E18" s="123"/>
      <c r="F18" s="123" t="s">
        <v>12</v>
      </c>
      <c r="G18" s="123"/>
      <c r="H18" s="123"/>
    </row>
    <row r="19" spans="1:8" ht="40.5">
      <c r="A19" s="123"/>
      <c r="B19" s="123"/>
      <c r="C19" s="12" t="s">
        <v>13</v>
      </c>
      <c r="D19" s="20" t="s">
        <v>118</v>
      </c>
      <c r="E19" s="12" t="s">
        <v>39</v>
      </c>
      <c r="F19" s="12" t="s">
        <v>13</v>
      </c>
      <c r="G19" s="68" t="s">
        <v>129</v>
      </c>
      <c r="H19" s="12" t="s">
        <v>38</v>
      </c>
    </row>
    <row r="20" spans="1:8" ht="15" customHeight="1">
      <c r="A20" s="12" t="s">
        <v>63</v>
      </c>
      <c r="B20" s="64" t="s">
        <v>146</v>
      </c>
      <c r="C20" s="9">
        <v>0</v>
      </c>
      <c r="D20" s="119">
        <v>5879</v>
      </c>
      <c r="E20" s="65">
        <f>ROUND(C20/$D$20*100,1)</f>
        <v>0</v>
      </c>
      <c r="F20" s="9">
        <v>0</v>
      </c>
      <c r="G20" s="119">
        <v>459114</v>
      </c>
      <c r="H20" s="65">
        <f>ROUND(F20/$G$20*100,1)</f>
        <v>0</v>
      </c>
    </row>
    <row r="21" spans="1:8" ht="15" customHeight="1">
      <c r="A21" s="12" t="s">
        <v>64</v>
      </c>
      <c r="B21" s="64" t="s">
        <v>148</v>
      </c>
      <c r="C21" s="9">
        <v>0</v>
      </c>
      <c r="D21" s="120"/>
      <c r="E21" s="65">
        <f>ROUND(C21/$D$20*100,1)</f>
        <v>0</v>
      </c>
      <c r="F21" s="9">
        <v>0</v>
      </c>
      <c r="G21" s="120"/>
      <c r="H21" s="65">
        <f t="shared" ref="H21:H25" si="4">ROUND(F21/$G$20*100,1)</f>
        <v>0</v>
      </c>
    </row>
    <row r="22" spans="1:8" ht="15" customHeight="1">
      <c r="A22" s="12" t="s">
        <v>65</v>
      </c>
      <c r="B22" s="64" t="s">
        <v>150</v>
      </c>
      <c r="C22" s="9">
        <v>0</v>
      </c>
      <c r="D22" s="120"/>
      <c r="E22" s="65">
        <f t="shared" ref="E22:E25" si="5">ROUND(C22/$D$20*100,1)</f>
        <v>0</v>
      </c>
      <c r="F22" s="9">
        <v>0</v>
      </c>
      <c r="G22" s="120"/>
      <c r="H22" s="65">
        <f t="shared" si="4"/>
        <v>0</v>
      </c>
    </row>
    <row r="23" spans="1:8" ht="15" customHeight="1">
      <c r="A23" s="12" t="s">
        <v>66</v>
      </c>
      <c r="B23" s="64" t="s">
        <v>152</v>
      </c>
      <c r="C23" s="9">
        <v>0</v>
      </c>
      <c r="D23" s="120"/>
      <c r="E23" s="65">
        <f t="shared" si="5"/>
        <v>0</v>
      </c>
      <c r="F23" s="9">
        <v>0</v>
      </c>
      <c r="G23" s="120"/>
      <c r="H23" s="65">
        <f t="shared" si="4"/>
        <v>0</v>
      </c>
    </row>
    <row r="24" spans="1:8" ht="15" customHeight="1">
      <c r="A24" s="12" t="s">
        <v>67</v>
      </c>
      <c r="B24" s="64" t="s">
        <v>153</v>
      </c>
      <c r="C24" s="9">
        <v>0</v>
      </c>
      <c r="D24" s="120"/>
      <c r="E24" s="65">
        <f t="shared" si="5"/>
        <v>0</v>
      </c>
      <c r="F24" s="9">
        <v>0</v>
      </c>
      <c r="G24" s="120"/>
      <c r="H24" s="65">
        <f t="shared" si="4"/>
        <v>0</v>
      </c>
    </row>
    <row r="25" spans="1:8" ht="15" customHeight="1">
      <c r="A25" s="12" t="s">
        <v>68</v>
      </c>
      <c r="B25" s="64" t="s">
        <v>154</v>
      </c>
      <c r="C25" s="9">
        <v>0</v>
      </c>
      <c r="D25" s="120"/>
      <c r="E25" s="65">
        <f t="shared" si="5"/>
        <v>0</v>
      </c>
      <c r="F25" s="9">
        <v>0</v>
      </c>
      <c r="G25" s="120"/>
      <c r="H25" s="65">
        <f t="shared" si="4"/>
        <v>0</v>
      </c>
    </row>
    <row r="26" spans="1:8" ht="13.9">
      <c r="A26" s="19" t="s">
        <v>69</v>
      </c>
      <c r="B26" s="66" t="s">
        <v>70</v>
      </c>
      <c r="C26" s="9">
        <v>0</v>
      </c>
      <c r="D26" s="121"/>
      <c r="E26" s="65">
        <f>ROUND(C26/$D$20*100,1)</f>
        <v>0</v>
      </c>
      <c r="F26" s="9">
        <v>0</v>
      </c>
      <c r="G26" s="121"/>
      <c r="H26" s="65">
        <f>ROUND(F26/$G$20*100,1)</f>
        <v>0</v>
      </c>
    </row>
  </sheetData>
  <mergeCells count="15">
    <mergeCell ref="G8:G14"/>
    <mergeCell ref="D20:D26"/>
    <mergeCell ref="G20:G26"/>
    <mergeCell ref="A2:C2"/>
    <mergeCell ref="A6:A7"/>
    <mergeCell ref="B6:B7"/>
    <mergeCell ref="F6:H6"/>
    <mergeCell ref="A5:H5"/>
    <mergeCell ref="C6:E6"/>
    <mergeCell ref="A17:H17"/>
    <mergeCell ref="A18:A19"/>
    <mergeCell ref="B18:B19"/>
    <mergeCell ref="C18:E18"/>
    <mergeCell ref="F18:H18"/>
    <mergeCell ref="D8:D1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9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T25"/>
  <sheetViews>
    <sheetView zoomScaleNormal="100" zoomScaleSheetLayoutView="110" workbookViewId="0">
      <selection activeCell="D29" sqref="D29"/>
    </sheetView>
  </sheetViews>
  <sheetFormatPr defaultColWidth="8.86328125" defaultRowHeight="13.5"/>
  <cols>
    <col min="1" max="1" width="11.1328125" style="40" customWidth="1"/>
    <col min="2" max="2" width="9.59765625" style="40" customWidth="1"/>
    <col min="3" max="3" width="45.73046875" style="41" bestFit="1" customWidth="1"/>
    <col min="4" max="4" width="21" style="40" customWidth="1"/>
    <col min="5" max="5" width="37.73046875" style="40" customWidth="1"/>
    <col min="6" max="6" width="20" style="40" bestFit="1" customWidth="1"/>
    <col min="7" max="7" width="19.3984375" style="40" customWidth="1"/>
    <col min="8" max="8" width="13.46484375" style="40" customWidth="1"/>
    <col min="9" max="9" width="8.86328125" style="40"/>
    <col min="10" max="10" width="30.46484375" style="40" bestFit="1" customWidth="1"/>
    <col min="11" max="11" width="21.3984375" style="40" customWidth="1"/>
    <col min="12" max="12" width="30.59765625" style="40" customWidth="1"/>
    <col min="13" max="13" width="17.59765625" style="40" bestFit="1" customWidth="1"/>
    <col min="14" max="16384" width="8.86328125" style="40"/>
  </cols>
  <sheetData>
    <row r="2" spans="1:20">
      <c r="A2" s="133" t="s">
        <v>111</v>
      </c>
      <c r="B2" s="122"/>
      <c r="C2" s="122"/>
    </row>
    <row r="3" spans="1:20">
      <c r="A3" s="22"/>
      <c r="B3" s="22"/>
      <c r="C3" s="22"/>
      <c r="G3" s="41"/>
    </row>
    <row r="4" spans="1:20" ht="13.9">
      <c r="A4" s="67" t="s">
        <v>155</v>
      </c>
      <c r="C4" s="40"/>
      <c r="D4" s="21"/>
      <c r="E4" s="21"/>
      <c r="F4" s="21"/>
      <c r="G4" s="41"/>
      <c r="N4" s="4"/>
      <c r="O4" s="4"/>
      <c r="P4" s="4"/>
      <c r="Q4" s="4"/>
      <c r="R4" s="4"/>
      <c r="S4" s="4"/>
      <c r="T4" s="4"/>
    </row>
    <row r="5" spans="1:20" ht="15.75" customHeight="1">
      <c r="A5" s="123" t="s">
        <v>109</v>
      </c>
      <c r="B5" s="123" t="s">
        <v>110</v>
      </c>
      <c r="C5" s="123" t="s">
        <v>7</v>
      </c>
      <c r="D5" s="127" t="s">
        <v>130</v>
      </c>
      <c r="E5" s="127" t="s">
        <v>131</v>
      </c>
      <c r="F5" s="127" t="s">
        <v>132</v>
      </c>
      <c r="G5" s="4"/>
      <c r="N5" s="4"/>
      <c r="O5" s="4"/>
      <c r="P5" s="4"/>
      <c r="Q5" s="4"/>
      <c r="R5" s="4"/>
      <c r="S5" s="4"/>
      <c r="T5" s="4"/>
    </row>
    <row r="6" spans="1:20">
      <c r="A6" s="123"/>
      <c r="B6" s="123"/>
      <c r="C6" s="123"/>
      <c r="D6" s="123"/>
      <c r="E6" s="123"/>
      <c r="F6" s="123"/>
      <c r="G6" s="4"/>
      <c r="N6" s="4"/>
      <c r="O6" s="4"/>
      <c r="P6" s="4"/>
      <c r="Q6" s="4"/>
      <c r="R6" s="4"/>
      <c r="S6" s="4"/>
      <c r="T6" s="4"/>
    </row>
    <row r="7" spans="1:20" ht="15.75" customHeight="1">
      <c r="A7" s="128">
        <v>45905</v>
      </c>
      <c r="B7" s="123">
        <v>4</v>
      </c>
      <c r="C7" s="62" t="s">
        <v>175</v>
      </c>
      <c r="D7" s="88">
        <v>1075</v>
      </c>
      <c r="E7" s="134">
        <v>388584</v>
      </c>
      <c r="F7" s="130">
        <f>ROUND(AVERAGE(D7:D9)/E7*100,1)</f>
        <v>0.3</v>
      </c>
      <c r="G7" s="4"/>
      <c r="N7" s="4"/>
      <c r="O7" s="4"/>
      <c r="P7" s="4"/>
      <c r="Q7" s="4"/>
      <c r="R7" s="4"/>
      <c r="S7" s="4"/>
      <c r="T7" s="4"/>
    </row>
    <row r="8" spans="1:20" ht="15.75" customHeight="1">
      <c r="A8" s="128"/>
      <c r="B8" s="123"/>
      <c r="C8" s="62" t="s">
        <v>176</v>
      </c>
      <c r="D8" s="88">
        <v>1232</v>
      </c>
      <c r="E8" s="134"/>
      <c r="F8" s="131"/>
      <c r="G8" s="4"/>
      <c r="N8" s="4"/>
      <c r="O8" s="4"/>
      <c r="P8" s="4"/>
      <c r="Q8" s="4"/>
      <c r="R8" s="4"/>
      <c r="S8" s="4"/>
      <c r="T8" s="4"/>
    </row>
    <row r="9" spans="1:20" ht="15.75" customHeight="1">
      <c r="A9" s="128"/>
      <c r="B9" s="123"/>
      <c r="C9" s="62" t="s">
        <v>177</v>
      </c>
      <c r="D9" s="88">
        <v>1275</v>
      </c>
      <c r="E9" s="134"/>
      <c r="F9" s="132"/>
      <c r="G9" s="4"/>
      <c r="N9" s="4"/>
      <c r="O9" s="4"/>
      <c r="P9" s="4"/>
      <c r="Q9" s="4"/>
      <c r="R9" s="4"/>
      <c r="S9" s="4"/>
      <c r="T9" s="4"/>
    </row>
    <row r="10" spans="1:20">
      <c r="B10" s="5"/>
      <c r="C10" s="6"/>
      <c r="D10" s="21"/>
      <c r="E10" s="60"/>
      <c r="F10" s="6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.75" customHeight="1">
      <c r="B11" s="5"/>
      <c r="C11" s="6"/>
      <c r="D11" s="21"/>
      <c r="E11" s="60"/>
      <c r="F11" s="6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122" t="s">
        <v>119</v>
      </c>
      <c r="B12" s="122"/>
      <c r="C12" s="122"/>
      <c r="D12" s="21"/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23" t="s">
        <v>20</v>
      </c>
      <c r="B13" s="123" t="s">
        <v>110</v>
      </c>
      <c r="C13" s="123" t="s">
        <v>7</v>
      </c>
      <c r="D13" s="123" t="s">
        <v>120</v>
      </c>
      <c r="E13" s="123" t="s">
        <v>121</v>
      </c>
      <c r="F13" s="123" t="s">
        <v>122</v>
      </c>
      <c r="G13" s="4"/>
    </row>
    <row r="14" spans="1:20">
      <c r="A14" s="123"/>
      <c r="B14" s="123"/>
      <c r="C14" s="123"/>
      <c r="D14" s="123"/>
      <c r="E14" s="123"/>
      <c r="F14" s="123"/>
      <c r="G14" s="4"/>
    </row>
    <row r="15" spans="1:20">
      <c r="A15" s="128">
        <v>45905</v>
      </c>
      <c r="B15" s="123">
        <v>4</v>
      </c>
      <c r="C15" s="63" t="s">
        <v>112</v>
      </c>
      <c r="D15" s="9">
        <v>0</v>
      </c>
      <c r="E15" s="129">
        <v>6049</v>
      </c>
      <c r="F15" s="130">
        <f>ROUND(AVERAGE(D15:D17)/E15*100,1)</f>
        <v>0</v>
      </c>
      <c r="G15" s="4"/>
    </row>
    <row r="16" spans="1:20" ht="14.45" customHeight="1">
      <c r="A16" s="128"/>
      <c r="B16" s="123"/>
      <c r="C16" s="39" t="s">
        <v>113</v>
      </c>
      <c r="D16" s="9">
        <v>0</v>
      </c>
      <c r="E16" s="129"/>
      <c r="F16" s="131"/>
      <c r="G16" s="4"/>
    </row>
    <row r="17" spans="1:20" ht="14.45" customHeight="1">
      <c r="A17" s="128"/>
      <c r="B17" s="123"/>
      <c r="C17" s="39" t="s">
        <v>114</v>
      </c>
      <c r="D17" s="9">
        <v>0</v>
      </c>
      <c r="E17" s="129"/>
      <c r="F17" s="132"/>
      <c r="G17" s="4"/>
      <c r="H17" s="4"/>
    </row>
    <row r="18" spans="1:20" ht="14.45" customHeight="1">
      <c r="B18" s="2"/>
      <c r="C18" s="3"/>
      <c r="D18" s="2"/>
      <c r="E18" s="2"/>
      <c r="F18" s="2"/>
      <c r="G18" s="4"/>
      <c r="H18" s="4"/>
    </row>
    <row r="19" spans="1:20" ht="12.75" customHeight="1">
      <c r="A19" s="133" t="s">
        <v>123</v>
      </c>
      <c r="B19" s="122"/>
      <c r="C19" s="122"/>
      <c r="D19" s="21"/>
      <c r="F19" s="21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23" t="s">
        <v>109</v>
      </c>
      <c r="B20" s="123" t="s">
        <v>110</v>
      </c>
      <c r="C20" s="123" t="s">
        <v>7</v>
      </c>
      <c r="D20" s="127" t="s">
        <v>124</v>
      </c>
      <c r="E20" s="127" t="s">
        <v>125</v>
      </c>
      <c r="F20" s="127" t="s">
        <v>126</v>
      </c>
      <c r="G20" s="4"/>
      <c r="H20" s="4"/>
    </row>
    <row r="21" spans="1:20">
      <c r="A21" s="123"/>
      <c r="B21" s="123"/>
      <c r="C21" s="123"/>
      <c r="D21" s="123"/>
      <c r="E21" s="123"/>
      <c r="F21" s="123"/>
      <c r="G21" s="4"/>
      <c r="H21" s="4"/>
    </row>
    <row r="22" spans="1:20">
      <c r="A22" s="128">
        <v>45905</v>
      </c>
      <c r="B22" s="123">
        <v>4</v>
      </c>
      <c r="C22" s="63" t="s">
        <v>112</v>
      </c>
      <c r="D22" s="88">
        <v>244</v>
      </c>
      <c r="E22" s="129">
        <v>4319</v>
      </c>
      <c r="F22" s="130">
        <f>ROUND(AVERAGE(D22:D24)/E22*100,1)</f>
        <v>4.2</v>
      </c>
      <c r="G22" s="4"/>
      <c r="H22" s="4"/>
    </row>
    <row r="23" spans="1:20">
      <c r="A23" s="128"/>
      <c r="B23" s="123"/>
      <c r="C23" s="39" t="s">
        <v>113</v>
      </c>
      <c r="D23" s="88">
        <v>0</v>
      </c>
      <c r="E23" s="129"/>
      <c r="F23" s="131"/>
      <c r="G23" s="4"/>
      <c r="H23" s="4"/>
    </row>
    <row r="24" spans="1:20">
      <c r="A24" s="128"/>
      <c r="B24" s="123"/>
      <c r="C24" s="39" t="s">
        <v>114</v>
      </c>
      <c r="D24" s="88">
        <v>302</v>
      </c>
      <c r="E24" s="129"/>
      <c r="F24" s="132"/>
      <c r="G24" s="4"/>
      <c r="H24" s="4"/>
    </row>
    <row r="25" spans="1:20">
      <c r="G25" s="4"/>
      <c r="H25" s="4"/>
    </row>
  </sheetData>
  <mergeCells count="33">
    <mergeCell ref="A13:A14"/>
    <mergeCell ref="A15:A17"/>
    <mergeCell ref="B13:B14"/>
    <mergeCell ref="C13:C14"/>
    <mergeCell ref="A19:C19"/>
    <mergeCell ref="D5:D6"/>
    <mergeCell ref="E5:E6"/>
    <mergeCell ref="F5:F6"/>
    <mergeCell ref="B7:B9"/>
    <mergeCell ref="E15:E17"/>
    <mergeCell ref="E7:E9"/>
    <mergeCell ref="D13:D14"/>
    <mergeCell ref="E13:E14"/>
    <mergeCell ref="F13:F14"/>
    <mergeCell ref="B15:B17"/>
    <mergeCell ref="F7:F9"/>
    <mergeCell ref="F15:F17"/>
    <mergeCell ref="A2:C2"/>
    <mergeCell ref="A12:C12"/>
    <mergeCell ref="A5:A6"/>
    <mergeCell ref="A7:A9"/>
    <mergeCell ref="B5:B6"/>
    <mergeCell ref="C5:C6"/>
    <mergeCell ref="D20:D21"/>
    <mergeCell ref="E20:E21"/>
    <mergeCell ref="F20:F21"/>
    <mergeCell ref="A22:A24"/>
    <mergeCell ref="B22:B24"/>
    <mergeCell ref="E22:E24"/>
    <mergeCell ref="F22:F24"/>
    <mergeCell ref="A20:A21"/>
    <mergeCell ref="B20:B21"/>
    <mergeCell ref="C20:C21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M66"/>
  <sheetViews>
    <sheetView topLeftCell="A3" zoomScaleNormal="100" zoomScaleSheetLayoutView="100" workbookViewId="0">
      <selection activeCell="E30" sqref="E30:E35"/>
    </sheetView>
  </sheetViews>
  <sheetFormatPr defaultColWidth="9" defaultRowHeight="15.75" customHeight="1"/>
  <cols>
    <col min="1" max="1" width="21.1328125" style="10" customWidth="1"/>
    <col min="2" max="5" width="16.59765625" style="10" customWidth="1"/>
    <col min="6" max="6" width="13.46484375" style="10" customWidth="1"/>
    <col min="7" max="7" width="20.46484375" style="10" bestFit="1" customWidth="1"/>
    <col min="8" max="207" width="13.46484375" style="10" customWidth="1"/>
    <col min="208" max="16384" width="9" style="10"/>
  </cols>
  <sheetData>
    <row r="2" spans="1:13" ht="15.75" customHeight="1">
      <c r="A2" s="74" t="s">
        <v>62</v>
      </c>
    </row>
    <row r="3" spans="1:13" ht="15.75" customHeight="1">
      <c r="A3" s="74"/>
    </row>
    <row r="4" spans="1:13" ht="15.75" customHeight="1">
      <c r="A4" s="11" t="s">
        <v>127</v>
      </c>
      <c r="G4" s="11" t="s">
        <v>128</v>
      </c>
    </row>
    <row r="5" spans="1:13" ht="15.75" customHeight="1">
      <c r="A5" s="139" t="s">
        <v>83</v>
      </c>
      <c r="B5" s="140"/>
      <c r="C5" s="141"/>
      <c r="D5" s="139" t="s">
        <v>171</v>
      </c>
      <c r="E5" s="141"/>
      <c r="G5" s="139" t="s">
        <v>83</v>
      </c>
      <c r="H5" s="140"/>
      <c r="I5" s="141"/>
      <c r="J5" s="139" t="s">
        <v>172</v>
      </c>
      <c r="K5" s="141"/>
    </row>
    <row r="6" spans="1:13" ht="15.75" customHeight="1">
      <c r="A6" s="123" t="s">
        <v>58</v>
      </c>
      <c r="B6" s="12" t="s">
        <v>6</v>
      </c>
      <c r="C6" s="142" t="s">
        <v>59</v>
      </c>
      <c r="D6" s="13" t="s">
        <v>1</v>
      </c>
      <c r="E6" s="142" t="s">
        <v>59</v>
      </c>
      <c r="G6" s="123" t="s">
        <v>58</v>
      </c>
      <c r="H6" s="12" t="s">
        <v>6</v>
      </c>
      <c r="I6" s="142" t="s">
        <v>59</v>
      </c>
      <c r="J6" s="13" t="s">
        <v>1</v>
      </c>
      <c r="K6" s="142" t="s">
        <v>59</v>
      </c>
    </row>
    <row r="7" spans="1:13" ht="15.75" customHeight="1">
      <c r="A7" s="123"/>
      <c r="B7" s="14">
        <v>13.888999999999999</v>
      </c>
      <c r="C7" s="143"/>
      <c r="D7" s="14">
        <v>3472.3539999999998</v>
      </c>
      <c r="E7" s="143"/>
      <c r="G7" s="123"/>
      <c r="H7" s="14">
        <v>16.111000000000001</v>
      </c>
      <c r="I7" s="143"/>
      <c r="J7" s="14">
        <v>4027.6260000000002</v>
      </c>
      <c r="K7" s="143"/>
    </row>
    <row r="8" spans="1:13" ht="15.75" customHeight="1">
      <c r="A8" s="123"/>
      <c r="B8" s="51" t="s">
        <v>157</v>
      </c>
      <c r="C8" s="144"/>
      <c r="D8" s="51" t="s">
        <v>157</v>
      </c>
      <c r="E8" s="144"/>
      <c r="G8" s="123"/>
      <c r="H8" s="51" t="s">
        <v>157</v>
      </c>
      <c r="I8" s="144"/>
      <c r="J8" s="51" t="s">
        <v>157</v>
      </c>
      <c r="K8" s="144"/>
    </row>
    <row r="9" spans="1:13" ht="15.75" customHeight="1">
      <c r="A9" s="138" t="s">
        <v>145</v>
      </c>
      <c r="B9" s="69">
        <v>13.85</v>
      </c>
      <c r="C9" s="70">
        <f>ROUND((B9-B$7)/B$7*100,1)</f>
        <v>-0.3</v>
      </c>
      <c r="D9" s="69">
        <v>3380.9609999999998</v>
      </c>
      <c r="E9" s="70">
        <f>ROUND((D9-D$7)/D$7*100,1)</f>
        <v>-2.6</v>
      </c>
      <c r="F9"/>
      <c r="G9" s="138" t="s">
        <v>145</v>
      </c>
      <c r="H9" s="69">
        <v>14.333</v>
      </c>
      <c r="I9" s="70">
        <f>ROUND((H9-H$7)/H$7*100,1)</f>
        <v>-11</v>
      </c>
      <c r="J9" s="69">
        <v>3736.6790000000001</v>
      </c>
      <c r="K9" s="70">
        <f>ROUND((J9-J$7)/J$7*100,1)</f>
        <v>-7.2</v>
      </c>
      <c r="L9"/>
      <c r="M9"/>
    </row>
    <row r="10" spans="1:13" ht="15.75" customHeight="1">
      <c r="A10" s="138"/>
      <c r="B10" s="69">
        <v>13.163</v>
      </c>
      <c r="C10" s="70">
        <f>ROUND((B10-B$7)/B$7*100,1)</f>
        <v>-5.2</v>
      </c>
      <c r="D10" s="69">
        <v>3329.366</v>
      </c>
      <c r="E10" s="70">
        <f>ROUND((D10-D$7)/D$7*100,1)</f>
        <v>-4.0999999999999996</v>
      </c>
      <c r="F10"/>
      <c r="G10" s="138"/>
      <c r="H10" s="69">
        <v>15.672000000000001</v>
      </c>
      <c r="I10" s="70">
        <f>ROUND((H10-H$7)/H$7*100,1)</f>
        <v>-2.7</v>
      </c>
      <c r="J10" s="69">
        <v>3834.8220000000001</v>
      </c>
      <c r="K10" s="70">
        <f>ROUND((J10-J$7)/J$7*100,1)</f>
        <v>-4.8</v>
      </c>
      <c r="L10"/>
      <c r="M10"/>
    </row>
    <row r="11" spans="1:13" ht="15.75" customHeight="1">
      <c r="A11" s="138"/>
      <c r="B11" s="69">
        <v>13.875</v>
      </c>
      <c r="C11" s="70">
        <f>ROUND((B11-B$7)/B$7*100,1)</f>
        <v>-0.1</v>
      </c>
      <c r="D11" s="69">
        <v>3402.8969999999999</v>
      </c>
      <c r="E11" s="70">
        <f>ROUND((D11-D$7)/D$7*100,1)</f>
        <v>-2</v>
      </c>
      <c r="F11"/>
      <c r="G11" s="138"/>
      <c r="H11" s="69">
        <v>14.836</v>
      </c>
      <c r="I11" s="70">
        <f>ROUND((H11-H$7)/H$7*100,1)</f>
        <v>-7.9</v>
      </c>
      <c r="J11" s="69">
        <v>3846.9949999999999</v>
      </c>
      <c r="K11" s="70">
        <f>ROUND((J11-J$7)/J$7*100,1)</f>
        <v>-4.5</v>
      </c>
      <c r="L11"/>
      <c r="M11"/>
    </row>
    <row r="12" spans="1:13" ht="15.75" customHeight="1">
      <c r="A12" s="12" t="s">
        <v>14</v>
      </c>
      <c r="B12" s="69">
        <f>ROUND(AVERAGE(B9:B11),3)</f>
        <v>13.629</v>
      </c>
      <c r="C12" s="135"/>
      <c r="D12" s="69">
        <f>ROUND(AVERAGE(D9:D11),3)</f>
        <v>3371.0749999999998</v>
      </c>
      <c r="E12" s="135"/>
      <c r="F12"/>
      <c r="G12" s="12" t="s">
        <v>14</v>
      </c>
      <c r="H12" s="69">
        <f>ROUND(AVERAGE(H9:H11),3)</f>
        <v>14.946999999999999</v>
      </c>
      <c r="I12" s="135"/>
      <c r="J12" s="69">
        <f>ROUND(AVERAGE(J9:J11),3)</f>
        <v>3806.165</v>
      </c>
      <c r="K12" s="135"/>
      <c r="L12"/>
      <c r="M12"/>
    </row>
    <row r="13" spans="1:13" ht="15.75" customHeight="1">
      <c r="A13" s="12" t="s">
        <v>4</v>
      </c>
      <c r="B13" s="69">
        <f>ROUND(STDEV(B9:B11),3)</f>
        <v>0.40400000000000003</v>
      </c>
      <c r="C13" s="136"/>
      <c r="D13" s="69">
        <f>ROUND(STDEV(D9:D11),3)</f>
        <v>37.749000000000002</v>
      </c>
      <c r="E13" s="136"/>
      <c r="F13"/>
      <c r="G13" s="12" t="s">
        <v>4</v>
      </c>
      <c r="H13" s="69">
        <f>ROUND(STDEV(H9:H11),3)</f>
        <v>0.67600000000000005</v>
      </c>
      <c r="I13" s="136"/>
      <c r="J13" s="69">
        <f>ROUND(STDEV(J9:J11),3)</f>
        <v>60.484000000000002</v>
      </c>
      <c r="K13" s="136"/>
      <c r="L13"/>
      <c r="M13"/>
    </row>
    <row r="14" spans="1:13" ht="15.75" customHeight="1">
      <c r="A14" s="12" t="s">
        <v>60</v>
      </c>
      <c r="B14" s="70">
        <f>ROUND(B13/B12*100,1)</f>
        <v>3</v>
      </c>
      <c r="C14" s="136"/>
      <c r="D14" s="70">
        <f>ROUND(D13/D12*100,1)</f>
        <v>1.1000000000000001</v>
      </c>
      <c r="E14" s="136"/>
      <c r="F14"/>
      <c r="G14" s="12" t="s">
        <v>60</v>
      </c>
      <c r="H14" s="70">
        <f>ROUND(H13/H12*100,1)</f>
        <v>4.5</v>
      </c>
      <c r="I14" s="136"/>
      <c r="J14" s="70">
        <f>ROUND(J13/J12*100,1)</f>
        <v>1.6</v>
      </c>
      <c r="K14" s="136"/>
      <c r="L14"/>
      <c r="M14"/>
    </row>
    <row r="15" spans="1:13" ht="15.75" customHeight="1">
      <c r="A15" s="12" t="s">
        <v>61</v>
      </c>
      <c r="B15" s="70">
        <f>ROUND(B12/B$7*100,1)</f>
        <v>98.1</v>
      </c>
      <c r="C15" s="136"/>
      <c r="D15" s="70">
        <f>ROUND(D12/D$7*100,1)</f>
        <v>97.1</v>
      </c>
      <c r="E15" s="136"/>
      <c r="F15"/>
      <c r="G15" s="12" t="s">
        <v>61</v>
      </c>
      <c r="H15" s="70">
        <f>ROUND(H12/H$7*100,1)</f>
        <v>92.8</v>
      </c>
      <c r="I15" s="136"/>
      <c r="J15" s="70">
        <f>ROUND(J12/J$7*100,1)</f>
        <v>94.5</v>
      </c>
      <c r="K15" s="136"/>
      <c r="L15"/>
      <c r="M15"/>
    </row>
    <row r="16" spans="1:13" ht="15.75" customHeight="1">
      <c r="A16" s="12" t="s">
        <v>59</v>
      </c>
      <c r="B16" s="70">
        <f>ROUND((B12-B$7)/B$7*100,1)</f>
        <v>-1.9</v>
      </c>
      <c r="C16" s="136"/>
      <c r="D16" s="70">
        <f>ROUND((D12-D$7)/D$7*100,1)</f>
        <v>-2.9</v>
      </c>
      <c r="E16" s="136"/>
      <c r="F16"/>
      <c r="G16" s="12" t="s">
        <v>59</v>
      </c>
      <c r="H16" s="70">
        <f>ROUND((H12-H$7)/H$7*100,1)</f>
        <v>-7.2</v>
      </c>
      <c r="I16" s="136"/>
      <c r="J16" s="70">
        <f>ROUND((J12-J$7)/J$7*100,1)</f>
        <v>-5.5</v>
      </c>
      <c r="K16" s="136"/>
      <c r="L16"/>
      <c r="M16"/>
    </row>
    <row r="17" spans="1:13" ht="15.75" customHeight="1">
      <c r="A17" s="12" t="s">
        <v>5</v>
      </c>
      <c r="B17" s="12">
        <v>3</v>
      </c>
      <c r="C17" s="137"/>
      <c r="D17" s="12">
        <v>3</v>
      </c>
      <c r="E17" s="137"/>
      <c r="F17"/>
      <c r="G17" s="12" t="s">
        <v>5</v>
      </c>
      <c r="H17" s="12">
        <v>3</v>
      </c>
      <c r="I17" s="137"/>
      <c r="J17" s="12">
        <v>3</v>
      </c>
      <c r="K17" s="137"/>
      <c r="L17"/>
      <c r="M17"/>
    </row>
    <row r="18" spans="1:13" ht="15.75" customHeight="1">
      <c r="A18" s="138" t="s">
        <v>147</v>
      </c>
      <c r="B18" s="69">
        <v>13.429</v>
      </c>
      <c r="C18" s="70">
        <f>ROUND((B18-B$7)/B$7*100,1)</f>
        <v>-3.3</v>
      </c>
      <c r="D18" s="69">
        <v>3672.732</v>
      </c>
      <c r="E18" s="70">
        <f>ROUND((D18-D$7)/D$7*100,1)</f>
        <v>5.8</v>
      </c>
      <c r="F18"/>
      <c r="G18" s="138" t="s">
        <v>147</v>
      </c>
      <c r="H18" s="69">
        <v>16.739999999999998</v>
      </c>
      <c r="I18" s="70">
        <f>ROUND((H18-H$7)/H$7*100,1)</f>
        <v>3.9</v>
      </c>
      <c r="J18" s="69">
        <v>4331.87</v>
      </c>
      <c r="K18" s="70">
        <f>ROUND((J18-J$7)/J$7*100,1)</f>
        <v>7.6</v>
      </c>
      <c r="L18"/>
      <c r="M18"/>
    </row>
    <row r="19" spans="1:13" ht="15.75" customHeight="1">
      <c r="A19" s="138"/>
      <c r="B19" s="69">
        <v>14.433</v>
      </c>
      <c r="C19" s="70">
        <f>ROUND((B19-B$7)/B$7*100,1)</f>
        <v>3.9</v>
      </c>
      <c r="D19" s="69">
        <v>3428.6570000000002</v>
      </c>
      <c r="E19" s="70">
        <f>ROUND((D19-D$7)/D$7*100,1)</f>
        <v>-1.3</v>
      </c>
      <c r="F19"/>
      <c r="G19" s="138"/>
      <c r="H19" s="69">
        <v>15.532</v>
      </c>
      <c r="I19" s="70">
        <f>ROUND((H19-H$7)/H$7*100,1)</f>
        <v>-3.6</v>
      </c>
      <c r="J19" s="69">
        <v>3999.183</v>
      </c>
      <c r="K19" s="70">
        <f>ROUND((J19-J$7)/J$7*100,1)</f>
        <v>-0.7</v>
      </c>
      <c r="L19"/>
      <c r="M19"/>
    </row>
    <row r="20" spans="1:13" ht="13.9">
      <c r="A20" s="138"/>
      <c r="B20" s="69">
        <v>14.808999999999999</v>
      </c>
      <c r="C20" s="70">
        <f>ROUND((B20-B$7)/B$7*100,1)</f>
        <v>6.6</v>
      </c>
      <c r="D20" s="69">
        <v>3535.53</v>
      </c>
      <c r="E20" s="70">
        <f>ROUND((D20-D$7)/D$7*100,1)</f>
        <v>1.8</v>
      </c>
      <c r="F20"/>
      <c r="G20" s="138"/>
      <c r="H20" s="69">
        <v>16.501000000000001</v>
      </c>
      <c r="I20" s="70">
        <f>ROUND((H20-H$7)/H$7*100,1)</f>
        <v>2.4</v>
      </c>
      <c r="J20" s="69">
        <v>4210.598</v>
      </c>
      <c r="K20" s="70">
        <f>ROUND((J20-J$7)/J$7*100,1)</f>
        <v>4.5</v>
      </c>
      <c r="L20"/>
      <c r="M20"/>
    </row>
    <row r="21" spans="1:13" ht="15.75" customHeight="1">
      <c r="A21" s="12" t="s">
        <v>14</v>
      </c>
      <c r="B21" s="69">
        <f>ROUND(AVERAGE(B18:B20),3)</f>
        <v>14.224</v>
      </c>
      <c r="C21" s="135"/>
      <c r="D21" s="69">
        <f>ROUND(AVERAGE(D18:D20),3)</f>
        <v>3545.64</v>
      </c>
      <c r="E21" s="135"/>
      <c r="F21"/>
      <c r="G21" s="12" t="s">
        <v>14</v>
      </c>
      <c r="H21" s="69">
        <f>ROUND(AVERAGE(H18:H20),3)</f>
        <v>16.257999999999999</v>
      </c>
      <c r="I21" s="135"/>
      <c r="J21" s="69">
        <f>ROUND(AVERAGE(J18:J20),3)</f>
        <v>4180.55</v>
      </c>
      <c r="K21" s="135"/>
      <c r="L21"/>
      <c r="M21"/>
    </row>
    <row r="22" spans="1:13" ht="15.75" customHeight="1">
      <c r="A22" s="12" t="s">
        <v>4</v>
      </c>
      <c r="B22" s="69">
        <f>ROUND(STDEV(B18:B20),3)</f>
        <v>0.71299999999999997</v>
      </c>
      <c r="C22" s="136"/>
      <c r="D22" s="69">
        <f>ROUND(STDEV(D18:D20),3)</f>
        <v>122.351</v>
      </c>
      <c r="E22" s="136"/>
      <c r="F22"/>
      <c r="G22" s="12" t="s">
        <v>4</v>
      </c>
      <c r="H22" s="69">
        <f>ROUND(STDEV(H18:H20),3)</f>
        <v>0.64</v>
      </c>
      <c r="I22" s="136"/>
      <c r="J22" s="69">
        <f>ROUND(STDEV(J18:J20),3)</f>
        <v>168.36699999999999</v>
      </c>
      <c r="K22" s="136"/>
      <c r="L22"/>
      <c r="M22"/>
    </row>
    <row r="23" spans="1:13" ht="15.75" customHeight="1">
      <c r="A23" s="12" t="s">
        <v>60</v>
      </c>
      <c r="B23" s="70">
        <f>ROUND(B22/B21*100,1)</f>
        <v>5</v>
      </c>
      <c r="C23" s="136"/>
      <c r="D23" s="70">
        <f>ROUND(D22/D21*100,1)</f>
        <v>3.5</v>
      </c>
      <c r="E23" s="136"/>
      <c r="F23"/>
      <c r="G23" s="12" t="s">
        <v>60</v>
      </c>
      <c r="H23" s="70">
        <f>ROUND(H22/H21*100,1)</f>
        <v>3.9</v>
      </c>
      <c r="I23" s="136"/>
      <c r="J23" s="70">
        <f>ROUND(J22/J21*100,1)</f>
        <v>4</v>
      </c>
      <c r="K23" s="136"/>
      <c r="L23"/>
      <c r="M23"/>
    </row>
    <row r="24" spans="1:13" ht="15.75" customHeight="1">
      <c r="A24" s="12" t="s">
        <v>61</v>
      </c>
      <c r="B24" s="70">
        <f>ROUND(B21/B$7*100,1)</f>
        <v>102.4</v>
      </c>
      <c r="C24" s="136"/>
      <c r="D24" s="70">
        <f>ROUND(D21/D$7*100,1)</f>
        <v>102.1</v>
      </c>
      <c r="E24" s="136"/>
      <c r="F24"/>
      <c r="G24" s="12" t="s">
        <v>61</v>
      </c>
      <c r="H24" s="70">
        <f>ROUND(H21/H$7*100,1)</f>
        <v>100.9</v>
      </c>
      <c r="I24" s="136"/>
      <c r="J24" s="70">
        <f>ROUND(J21/J$7*100,1)</f>
        <v>103.8</v>
      </c>
      <c r="K24" s="136"/>
      <c r="L24"/>
      <c r="M24"/>
    </row>
    <row r="25" spans="1:13" ht="15.75" customHeight="1">
      <c r="A25" s="12" t="s">
        <v>59</v>
      </c>
      <c r="B25" s="70">
        <f>ROUND((B21-B$7)/B$7*100,1)</f>
        <v>2.4</v>
      </c>
      <c r="C25" s="136"/>
      <c r="D25" s="70">
        <f>ROUND((D21-D$7)/D$7*100,1)</f>
        <v>2.1</v>
      </c>
      <c r="E25" s="136"/>
      <c r="F25" s="75"/>
      <c r="G25" s="12" t="s">
        <v>59</v>
      </c>
      <c r="H25" s="70">
        <f>ROUND((H21-H$7)/H$7*100,1)</f>
        <v>0.9</v>
      </c>
      <c r="I25" s="136"/>
      <c r="J25" s="70">
        <f>ROUND((J21-J$7)/J$7*100,1)</f>
        <v>3.8</v>
      </c>
      <c r="K25" s="136"/>
      <c r="L25"/>
      <c r="M25"/>
    </row>
    <row r="26" spans="1:13" ht="15.75" customHeight="1">
      <c r="A26" s="12" t="s">
        <v>5</v>
      </c>
      <c r="B26" s="12">
        <v>3</v>
      </c>
      <c r="C26" s="137"/>
      <c r="D26" s="12">
        <v>3</v>
      </c>
      <c r="E26" s="137"/>
      <c r="F26"/>
      <c r="G26" s="12" t="s">
        <v>5</v>
      </c>
      <c r="H26" s="12">
        <v>3</v>
      </c>
      <c r="I26" s="137"/>
      <c r="J26" s="12">
        <v>3</v>
      </c>
      <c r="K26" s="137"/>
      <c r="L26"/>
      <c r="M26"/>
    </row>
    <row r="27" spans="1:13" ht="15.75" customHeight="1">
      <c r="A27" s="138" t="s">
        <v>149</v>
      </c>
      <c r="B27" s="69">
        <v>14.122999999999999</v>
      </c>
      <c r="C27" s="70">
        <f>ROUND((B27-B$7)/B$7*100,1)</f>
        <v>1.7</v>
      </c>
      <c r="D27" s="69">
        <v>3260.73</v>
      </c>
      <c r="E27" s="70">
        <f>ROUND((D27-D$7)/D$7*100,1)</f>
        <v>-6.1</v>
      </c>
      <c r="G27" s="138" t="s">
        <v>149</v>
      </c>
      <c r="H27" s="69">
        <v>17.559000000000001</v>
      </c>
      <c r="I27" s="70">
        <f>ROUND((H27-H$7)/H$7*100,1)</f>
        <v>9</v>
      </c>
      <c r="J27" s="69">
        <v>3688.9470000000001</v>
      </c>
      <c r="K27" s="70">
        <f>ROUND((J27-J$7)/J$7*100,1)</f>
        <v>-8.4</v>
      </c>
    </row>
    <row r="28" spans="1:13" ht="15.75" customHeight="1">
      <c r="A28" s="138"/>
      <c r="B28" s="69">
        <v>14.114000000000001</v>
      </c>
      <c r="C28" s="70">
        <f>ROUND((B28-B$7)/B$7*100,1)</f>
        <v>1.6</v>
      </c>
      <c r="D28" s="69">
        <v>3344.33</v>
      </c>
      <c r="E28" s="70">
        <f>ROUND((D28-D$7)/D$7*100,1)</f>
        <v>-3.7</v>
      </c>
      <c r="G28" s="138"/>
      <c r="H28" s="69">
        <v>15.775</v>
      </c>
      <c r="I28" s="70">
        <f>ROUND((H28-H$7)/H$7*100,1)</f>
        <v>-2.1</v>
      </c>
      <c r="J28" s="69">
        <v>3856.4369999999999</v>
      </c>
      <c r="K28" s="70">
        <f>ROUND((J28-J$7)/J$7*100,1)</f>
        <v>-4.3</v>
      </c>
    </row>
    <row r="29" spans="1:13" ht="15.75" customHeight="1">
      <c r="A29" s="138"/>
      <c r="B29" s="69">
        <v>14.56</v>
      </c>
      <c r="C29" s="70">
        <f>ROUND((B29-B$7)/B$7*100,1)</f>
        <v>4.8</v>
      </c>
      <c r="D29" s="69">
        <v>3447.424</v>
      </c>
      <c r="E29" s="70">
        <f>ROUND((D29-D$7)/D$7*100,1)</f>
        <v>-0.7</v>
      </c>
      <c r="G29" s="138"/>
      <c r="H29" s="69">
        <v>16.952999999999999</v>
      </c>
      <c r="I29" s="70">
        <f>ROUND((H29-H$7)/H$7*100,1)</f>
        <v>5.2</v>
      </c>
      <c r="J29" s="69">
        <v>4242</v>
      </c>
      <c r="K29" s="70">
        <f>ROUND((J29-J$7)/J$7*100,1)</f>
        <v>5.3</v>
      </c>
    </row>
    <row r="30" spans="1:13" ht="15.75" customHeight="1">
      <c r="A30" s="12" t="s">
        <v>14</v>
      </c>
      <c r="B30" s="69">
        <f>ROUND(AVERAGE(B27:B29),3)</f>
        <v>14.266</v>
      </c>
      <c r="C30" s="135"/>
      <c r="D30" s="69">
        <f>ROUND(AVERAGE(D27:D29),3)</f>
        <v>3350.828</v>
      </c>
      <c r="E30" s="135"/>
      <c r="G30" s="12" t="s">
        <v>14</v>
      </c>
      <c r="H30" s="69">
        <f>ROUND(AVERAGE(H27:H29),3)</f>
        <v>16.762</v>
      </c>
      <c r="I30" s="135"/>
      <c r="J30" s="69">
        <f>ROUND(AVERAGE(J27:J29),3)</f>
        <v>3929.1280000000002</v>
      </c>
      <c r="K30" s="135"/>
    </row>
    <row r="31" spans="1:13" ht="15.75" customHeight="1">
      <c r="A31" s="12" t="s">
        <v>4</v>
      </c>
      <c r="B31" s="69">
        <f>ROUND(STDEV(B27:B29),3)</f>
        <v>0.255</v>
      </c>
      <c r="C31" s="136"/>
      <c r="D31" s="69">
        <f>ROUND(STDEV(D27:D29),3)</f>
        <v>93.516000000000005</v>
      </c>
      <c r="E31" s="136"/>
      <c r="G31" s="12" t="s">
        <v>4</v>
      </c>
      <c r="H31" s="69">
        <f>ROUND(STDEV(H27:H29),3)</f>
        <v>0.90700000000000003</v>
      </c>
      <c r="I31" s="136"/>
      <c r="J31" s="69">
        <f>ROUND(STDEV(J27:J29),3)</f>
        <v>283.60199999999998</v>
      </c>
      <c r="K31" s="136"/>
    </row>
    <row r="32" spans="1:13" ht="15.75" customHeight="1">
      <c r="A32" s="12" t="s">
        <v>60</v>
      </c>
      <c r="B32" s="70">
        <f>ROUND(B31/B30*100,1)</f>
        <v>1.8</v>
      </c>
      <c r="C32" s="136"/>
      <c r="D32" s="70">
        <f>ROUND(D31/D30*100,1)</f>
        <v>2.8</v>
      </c>
      <c r="E32" s="136"/>
      <c r="G32" s="12" t="s">
        <v>60</v>
      </c>
      <c r="H32" s="70">
        <f>ROUND(H31/H30*100,1)</f>
        <v>5.4</v>
      </c>
      <c r="I32" s="136"/>
      <c r="J32" s="70">
        <f>ROUND(J31/J30*100,1)</f>
        <v>7.2</v>
      </c>
      <c r="K32" s="136"/>
    </row>
    <row r="33" spans="1:11" ht="15.75" customHeight="1">
      <c r="A33" s="12" t="s">
        <v>61</v>
      </c>
      <c r="B33" s="70">
        <f>ROUND(B30/B$7*100,1)</f>
        <v>102.7</v>
      </c>
      <c r="C33" s="136"/>
      <c r="D33" s="70">
        <f>ROUND(D30/D$7*100,1)</f>
        <v>96.5</v>
      </c>
      <c r="E33" s="136"/>
      <c r="G33" s="12" t="s">
        <v>61</v>
      </c>
      <c r="H33" s="70">
        <f>ROUND(H30/H$7*100,1)</f>
        <v>104</v>
      </c>
      <c r="I33" s="136"/>
      <c r="J33" s="70">
        <f>ROUND(J30/J$7*100,1)</f>
        <v>97.6</v>
      </c>
      <c r="K33" s="136"/>
    </row>
    <row r="34" spans="1:11" ht="15.75" customHeight="1">
      <c r="A34" s="12" t="s">
        <v>59</v>
      </c>
      <c r="B34" s="70">
        <f>ROUND((B30-B$7)/B$7*100,1)</f>
        <v>2.7</v>
      </c>
      <c r="C34" s="136"/>
      <c r="D34" s="70">
        <f>ROUND((D30-D$7)/D$7*100,1)</f>
        <v>-3.5</v>
      </c>
      <c r="E34" s="136"/>
      <c r="G34" s="12" t="s">
        <v>59</v>
      </c>
      <c r="H34" s="70">
        <f>ROUND((H30-H$7)/H$7*100,1)</f>
        <v>4</v>
      </c>
      <c r="I34" s="136"/>
      <c r="J34" s="70">
        <f>ROUND((J30-J$7)/J$7*100,1)</f>
        <v>-2.4</v>
      </c>
      <c r="K34" s="136"/>
    </row>
    <row r="35" spans="1:11" ht="15.75" customHeight="1">
      <c r="A35" s="12" t="s">
        <v>5</v>
      </c>
      <c r="B35" s="12">
        <v>3</v>
      </c>
      <c r="C35" s="137"/>
      <c r="D35" s="12">
        <v>3</v>
      </c>
      <c r="E35" s="137"/>
      <c r="G35" s="12" t="s">
        <v>5</v>
      </c>
      <c r="H35" s="12">
        <v>3</v>
      </c>
      <c r="I35" s="137"/>
      <c r="J35" s="12">
        <v>3</v>
      </c>
      <c r="K35" s="137"/>
    </row>
    <row r="36" spans="1:11" ht="15.75" customHeight="1">
      <c r="A36" s="138" t="s">
        <v>151</v>
      </c>
      <c r="B36" s="69">
        <v>14.475</v>
      </c>
      <c r="C36" s="70">
        <f>ROUND((B36-B$7)/B$7*100,1)</f>
        <v>4.2</v>
      </c>
      <c r="D36" s="69">
        <v>3339.232</v>
      </c>
      <c r="E36" s="70">
        <f>ROUND((D36-D$7)/D$7*100,1)</f>
        <v>-3.8</v>
      </c>
      <c r="G36" s="138" t="s">
        <v>151</v>
      </c>
      <c r="H36" s="69">
        <v>17.013999999999999</v>
      </c>
      <c r="I36" s="70">
        <f>ROUND((H36-H$7)/H$7*100,1)</f>
        <v>5.6</v>
      </c>
      <c r="J36" s="69">
        <v>3855.076</v>
      </c>
      <c r="K36" s="70">
        <f>ROUND((J36-J$7)/J$7*100,1)</f>
        <v>-4.3</v>
      </c>
    </row>
    <row r="37" spans="1:11" ht="15.75" customHeight="1">
      <c r="A37" s="138"/>
      <c r="B37" s="69">
        <v>14.101000000000001</v>
      </c>
      <c r="C37" s="70">
        <f>ROUND((B37-B$7)/B$7*100,1)</f>
        <v>1.5</v>
      </c>
      <c r="D37" s="69">
        <v>3483.7339999999999</v>
      </c>
      <c r="E37" s="70">
        <f>ROUND((D37-D$7)/D$7*100,1)</f>
        <v>0.3</v>
      </c>
      <c r="G37" s="138"/>
      <c r="H37" s="69">
        <v>17.815999999999999</v>
      </c>
      <c r="I37" s="70">
        <f>ROUND((H37-H$7)/H$7*100,1)</f>
        <v>10.6</v>
      </c>
      <c r="J37" s="69">
        <v>3840.3710000000001</v>
      </c>
      <c r="K37" s="70">
        <f>ROUND((J37-J$7)/J$7*100,1)</f>
        <v>-4.5999999999999996</v>
      </c>
    </row>
    <row r="38" spans="1:11" ht="15.75" customHeight="1">
      <c r="A38" s="138"/>
      <c r="B38" s="69">
        <v>14.239000000000001</v>
      </c>
      <c r="C38" s="70">
        <f>ROUND((B38-B$7)/B$7*100,1)</f>
        <v>2.5</v>
      </c>
      <c r="D38" s="69">
        <v>3328.4830000000002</v>
      </c>
      <c r="E38" s="70">
        <f>ROUND((D38-D$7)/D$7*100,1)</f>
        <v>-4.0999999999999996</v>
      </c>
      <c r="G38" s="138"/>
      <c r="H38" s="69">
        <v>18.414000000000001</v>
      </c>
      <c r="I38" s="70">
        <f>ROUND((H38-H$7)/H$7*100,1)</f>
        <v>14.3</v>
      </c>
      <c r="J38" s="69">
        <v>3953.2559999999999</v>
      </c>
      <c r="K38" s="70">
        <f>ROUND((J38-J$7)/J$7*100,1)</f>
        <v>-1.8</v>
      </c>
    </row>
    <row r="39" spans="1:11" ht="15.75" customHeight="1">
      <c r="A39" s="12" t="s">
        <v>14</v>
      </c>
      <c r="B39" s="69">
        <f>ROUND(AVERAGE(B36:B38),3)</f>
        <v>14.272</v>
      </c>
      <c r="C39" s="135"/>
      <c r="D39" s="69">
        <f>ROUND(AVERAGE(D36:D38),3)</f>
        <v>3383.8159999999998</v>
      </c>
      <c r="E39" s="135"/>
      <c r="G39" s="12" t="s">
        <v>14</v>
      </c>
      <c r="H39" s="69">
        <f>ROUND(AVERAGE(H36:H38),3)</f>
        <v>17.748000000000001</v>
      </c>
      <c r="I39" s="135"/>
      <c r="J39" s="69">
        <f>ROUND(AVERAGE(J36:J38),3)</f>
        <v>3882.9009999999998</v>
      </c>
      <c r="K39" s="135"/>
    </row>
    <row r="40" spans="1:11" ht="15.75" customHeight="1">
      <c r="A40" s="12" t="s">
        <v>4</v>
      </c>
      <c r="B40" s="69">
        <f>ROUND(STDEV(B36:B38),3)</f>
        <v>0.189</v>
      </c>
      <c r="C40" s="136"/>
      <c r="D40" s="69">
        <f>ROUND(STDEV(D36:D38),3)</f>
        <v>86.697999999999993</v>
      </c>
      <c r="E40" s="136"/>
      <c r="G40" s="12" t="s">
        <v>4</v>
      </c>
      <c r="H40" s="69">
        <f>ROUND(STDEV(H36:H38),3)</f>
        <v>0.70199999999999996</v>
      </c>
      <c r="I40" s="136"/>
      <c r="J40" s="69">
        <f>ROUND(STDEV(J36:J38),3)</f>
        <v>61.371000000000002</v>
      </c>
      <c r="K40" s="136"/>
    </row>
    <row r="41" spans="1:11" ht="15.75" customHeight="1">
      <c r="A41" s="12" t="s">
        <v>60</v>
      </c>
      <c r="B41" s="70">
        <f>ROUND(B40/B39*100,1)</f>
        <v>1.3</v>
      </c>
      <c r="C41" s="136"/>
      <c r="D41" s="70">
        <f>ROUND(D40/D39*100,1)</f>
        <v>2.6</v>
      </c>
      <c r="E41" s="136"/>
      <c r="G41" s="12" t="s">
        <v>60</v>
      </c>
      <c r="H41" s="70">
        <f>ROUND(H40/H39*100,1)</f>
        <v>4</v>
      </c>
      <c r="I41" s="136"/>
      <c r="J41" s="70">
        <f>ROUND(J40/J39*100,1)</f>
        <v>1.6</v>
      </c>
      <c r="K41" s="136"/>
    </row>
    <row r="42" spans="1:11" ht="15.75" customHeight="1">
      <c r="A42" s="12" t="s">
        <v>61</v>
      </c>
      <c r="B42" s="70">
        <f>ROUND(B39/B$7*100,1)</f>
        <v>102.8</v>
      </c>
      <c r="C42" s="136"/>
      <c r="D42" s="70">
        <f>ROUND(D39/D$7*100,1)</f>
        <v>97.5</v>
      </c>
      <c r="E42" s="136"/>
      <c r="G42" s="12" t="s">
        <v>61</v>
      </c>
      <c r="H42" s="70">
        <f>ROUND(H39/H$7*100,1)</f>
        <v>110.2</v>
      </c>
      <c r="I42" s="136"/>
      <c r="J42" s="70">
        <f>ROUND(J39/J$7*100,1)</f>
        <v>96.4</v>
      </c>
      <c r="K42" s="136"/>
    </row>
    <row r="43" spans="1:11" ht="15.75" customHeight="1">
      <c r="A43" s="12" t="s">
        <v>59</v>
      </c>
      <c r="B43" s="70">
        <f>ROUND((B39-B$7)/B$7*100,1)</f>
        <v>2.8</v>
      </c>
      <c r="C43" s="136"/>
      <c r="D43" s="70">
        <f>ROUND((D39-D$7)/D$7*100,1)</f>
        <v>-2.5</v>
      </c>
      <c r="E43" s="136"/>
      <c r="G43" s="12" t="s">
        <v>59</v>
      </c>
      <c r="H43" s="70">
        <f>ROUND((H39-H$7)/H$7*100,1)</f>
        <v>10.199999999999999</v>
      </c>
      <c r="I43" s="136"/>
      <c r="J43" s="70">
        <f>ROUND((J39-J$7)/J$7*100,1)</f>
        <v>-3.6</v>
      </c>
      <c r="K43" s="136"/>
    </row>
    <row r="44" spans="1:11" ht="15.75" customHeight="1">
      <c r="A44" s="12" t="s">
        <v>5</v>
      </c>
      <c r="B44" s="12">
        <v>3</v>
      </c>
      <c r="C44" s="137"/>
      <c r="D44" s="12">
        <v>3</v>
      </c>
      <c r="E44" s="137"/>
      <c r="G44" s="12" t="s">
        <v>5</v>
      </c>
      <c r="H44" s="12">
        <v>3</v>
      </c>
      <c r="I44" s="137"/>
      <c r="J44" s="12">
        <v>3</v>
      </c>
      <c r="K44" s="137"/>
    </row>
    <row r="45" spans="1:11" ht="15.75" customHeight="1">
      <c r="A45" s="138" t="s">
        <v>153</v>
      </c>
      <c r="B45" s="69">
        <v>13.659000000000001</v>
      </c>
      <c r="C45" s="70">
        <f>ROUND((B45-B$7)/B$7*100,1)</f>
        <v>-1.7</v>
      </c>
      <c r="D45" s="69">
        <v>3274.357</v>
      </c>
      <c r="E45" s="70">
        <f>ROUND((D45-D$7)/D$7*100,1)</f>
        <v>-5.7</v>
      </c>
      <c r="G45" s="138" t="s">
        <v>153</v>
      </c>
      <c r="H45" s="69">
        <v>17.053000000000001</v>
      </c>
      <c r="I45" s="70">
        <f>ROUND((H45-H$7)/H$7*100,1)</f>
        <v>5.8</v>
      </c>
      <c r="J45" s="69">
        <v>3740.18</v>
      </c>
      <c r="K45" s="70">
        <f>ROUND((J45-J$7)/J$7*100,1)</f>
        <v>-7.1</v>
      </c>
    </row>
    <row r="46" spans="1:11" ht="15.75" customHeight="1">
      <c r="A46" s="138"/>
      <c r="B46" s="69">
        <v>14.237</v>
      </c>
      <c r="C46" s="70">
        <f>ROUND((B46-B$7)/B$7*100,1)</f>
        <v>2.5</v>
      </c>
      <c r="D46" s="69">
        <v>3471.1709999999998</v>
      </c>
      <c r="E46" s="70">
        <f>ROUND((D46-D$7)/D$7*100,1)</f>
        <v>0</v>
      </c>
      <c r="G46" s="138"/>
      <c r="H46" s="69">
        <v>16.725999999999999</v>
      </c>
      <c r="I46" s="70">
        <f>ROUND((H46-H$7)/H$7*100,1)</f>
        <v>3.8</v>
      </c>
      <c r="J46" s="69">
        <v>3878.942</v>
      </c>
      <c r="K46" s="70">
        <f>ROUND((J46-J$7)/J$7*100,1)</f>
        <v>-3.7</v>
      </c>
    </row>
    <row r="47" spans="1:11" ht="15.75" customHeight="1">
      <c r="A47" s="138"/>
      <c r="B47" s="69">
        <v>14.19</v>
      </c>
      <c r="C47" s="70">
        <f>ROUND((B47-B$7)/B$7*100,1)</f>
        <v>2.2000000000000002</v>
      </c>
      <c r="D47" s="69">
        <v>3464.5680000000002</v>
      </c>
      <c r="E47" s="70">
        <f>ROUND((D47-D$7)/D$7*100,1)</f>
        <v>-0.2</v>
      </c>
      <c r="G47" s="138"/>
      <c r="H47" s="69">
        <v>16.297999999999998</v>
      </c>
      <c r="I47" s="70">
        <f>ROUND((H47-H$7)/H$7*100,1)</f>
        <v>1.2</v>
      </c>
      <c r="J47" s="69">
        <v>3875.97</v>
      </c>
      <c r="K47" s="70">
        <f>ROUND((J47-J$7)/J$7*100,1)</f>
        <v>-3.8</v>
      </c>
    </row>
    <row r="48" spans="1:11" ht="15.75" customHeight="1">
      <c r="A48" s="12" t="s">
        <v>14</v>
      </c>
      <c r="B48" s="69">
        <f>ROUND(AVERAGE(B45:B47),3)</f>
        <v>14.029</v>
      </c>
      <c r="C48" s="135"/>
      <c r="D48" s="69">
        <f>ROUND(AVERAGE(D45:D47),3)</f>
        <v>3403.3649999999998</v>
      </c>
      <c r="E48" s="135"/>
      <c r="G48" s="12" t="s">
        <v>14</v>
      </c>
      <c r="H48" s="69">
        <f>ROUND(AVERAGE(H45:H47),3)</f>
        <v>16.692</v>
      </c>
      <c r="I48" s="135"/>
      <c r="J48" s="69">
        <f>ROUND(AVERAGE(J45:J47),3)</f>
        <v>3831.6970000000001</v>
      </c>
      <c r="K48" s="135"/>
    </row>
    <row r="49" spans="1:11" ht="15.75" customHeight="1">
      <c r="A49" s="12" t="s">
        <v>4</v>
      </c>
      <c r="B49" s="69">
        <f>ROUND(STDEV(B45:B47),3)</f>
        <v>0.32100000000000001</v>
      </c>
      <c r="C49" s="136"/>
      <c r="D49" s="69">
        <f>ROUND(STDEV(D45:D47),3)</f>
        <v>111.773</v>
      </c>
      <c r="E49" s="136"/>
      <c r="G49" s="12" t="s">
        <v>4</v>
      </c>
      <c r="H49" s="69">
        <f>ROUND(STDEV(H45:H47),3)</f>
        <v>0.379</v>
      </c>
      <c r="I49" s="136"/>
      <c r="J49" s="69">
        <f>ROUND(STDEV(J45:J47),3)</f>
        <v>79.27</v>
      </c>
      <c r="K49" s="136"/>
    </row>
    <row r="50" spans="1:11" ht="15.75" customHeight="1">
      <c r="A50" s="12" t="s">
        <v>60</v>
      </c>
      <c r="B50" s="70">
        <f>ROUND(B49/B48*100,1)</f>
        <v>2.2999999999999998</v>
      </c>
      <c r="C50" s="136"/>
      <c r="D50" s="70">
        <f>ROUND(D49/D48*100,1)</f>
        <v>3.3</v>
      </c>
      <c r="E50" s="136"/>
      <c r="G50" s="12" t="s">
        <v>60</v>
      </c>
      <c r="H50" s="70">
        <f>ROUND(H49/H48*100,1)</f>
        <v>2.2999999999999998</v>
      </c>
      <c r="I50" s="136"/>
      <c r="J50" s="70">
        <f>ROUND(J49/J48*100,1)</f>
        <v>2.1</v>
      </c>
      <c r="K50" s="136"/>
    </row>
    <row r="51" spans="1:11" ht="15.75" customHeight="1">
      <c r="A51" s="12" t="s">
        <v>61</v>
      </c>
      <c r="B51" s="70">
        <f>ROUND(B48/B$7*100,1)</f>
        <v>101</v>
      </c>
      <c r="C51" s="136"/>
      <c r="D51" s="70">
        <f>ROUND(D48/D$7*100,1)</f>
        <v>98</v>
      </c>
      <c r="E51" s="136"/>
      <c r="G51" s="12" t="s">
        <v>61</v>
      </c>
      <c r="H51" s="70">
        <f>ROUND(H48/H$7*100,1)</f>
        <v>103.6</v>
      </c>
      <c r="I51" s="136"/>
      <c r="J51" s="70">
        <f>ROUND(J48/J$7*100,1)</f>
        <v>95.1</v>
      </c>
      <c r="K51" s="136"/>
    </row>
    <row r="52" spans="1:11" ht="15.75" customHeight="1">
      <c r="A52" s="12" t="s">
        <v>59</v>
      </c>
      <c r="B52" s="70">
        <f>ROUND((B48-B$7)/B$7*100,1)</f>
        <v>1</v>
      </c>
      <c r="C52" s="136"/>
      <c r="D52" s="70">
        <f>ROUND((D48-D$7)/D$7*100,1)</f>
        <v>-2</v>
      </c>
      <c r="E52" s="136"/>
      <c r="G52" s="12" t="s">
        <v>59</v>
      </c>
      <c r="H52" s="70">
        <f>ROUND((H48-H$7)/H$7*100,1)</f>
        <v>3.6</v>
      </c>
      <c r="I52" s="136"/>
      <c r="J52" s="70">
        <f>ROUND((J48-J$7)/J$7*100,1)</f>
        <v>-4.9000000000000004</v>
      </c>
      <c r="K52" s="136"/>
    </row>
    <row r="53" spans="1:11" ht="15.75" customHeight="1">
      <c r="A53" s="12" t="s">
        <v>5</v>
      </c>
      <c r="B53" s="12">
        <v>3</v>
      </c>
      <c r="C53" s="137"/>
      <c r="D53" s="12">
        <v>3</v>
      </c>
      <c r="E53" s="137"/>
      <c r="G53" s="12" t="s">
        <v>5</v>
      </c>
      <c r="H53" s="12">
        <v>3</v>
      </c>
      <c r="I53" s="137"/>
      <c r="J53" s="12">
        <v>3</v>
      </c>
      <c r="K53" s="137"/>
    </row>
    <row r="54" spans="1:11" ht="15.75" customHeight="1">
      <c r="A54" s="138" t="s">
        <v>154</v>
      </c>
      <c r="B54" s="69">
        <v>14.28</v>
      </c>
      <c r="C54" s="70">
        <f>ROUND((B54-B$7)/B$7*100,1)</f>
        <v>2.8</v>
      </c>
      <c r="D54" s="69">
        <v>3483.9540000000002</v>
      </c>
      <c r="E54" s="70">
        <f>ROUND((D54-D$7)/D$7*100,1)</f>
        <v>0.3</v>
      </c>
      <c r="G54" s="138" t="s">
        <v>154</v>
      </c>
      <c r="H54" s="69">
        <v>16.602</v>
      </c>
      <c r="I54" s="70">
        <f>ROUND((H54-H$7)/H$7*100,1)</f>
        <v>3</v>
      </c>
      <c r="J54" s="69">
        <v>3966.8040000000001</v>
      </c>
      <c r="K54" s="70">
        <f>ROUND((J54-J$7)/J$7*100,1)</f>
        <v>-1.5</v>
      </c>
    </row>
    <row r="55" spans="1:11" ht="15.75" customHeight="1">
      <c r="A55" s="138"/>
      <c r="B55" s="69">
        <v>13.276</v>
      </c>
      <c r="C55" s="70">
        <f>ROUND((B55-B$7)/B$7*100,1)</f>
        <v>-4.4000000000000004</v>
      </c>
      <c r="D55" s="69">
        <v>3444.5529999999999</v>
      </c>
      <c r="E55" s="70">
        <f>ROUND((D55-D$7)/D$7*100,1)</f>
        <v>-0.8</v>
      </c>
      <c r="G55" s="138"/>
      <c r="H55" s="69">
        <v>16.177</v>
      </c>
      <c r="I55" s="70">
        <f>ROUND((H55-H$7)/H$7*100,1)</f>
        <v>0.4</v>
      </c>
      <c r="J55" s="69">
        <v>3981.4459999999999</v>
      </c>
      <c r="K55" s="70">
        <f>ROUND((J55-J$7)/J$7*100,1)</f>
        <v>-1.1000000000000001</v>
      </c>
    </row>
    <row r="56" spans="1:11" ht="15.75" customHeight="1">
      <c r="A56" s="138"/>
      <c r="B56" s="69">
        <v>14.068</v>
      </c>
      <c r="C56" s="70">
        <f>ROUND((B56-B$7)/B$7*100,1)</f>
        <v>1.3</v>
      </c>
      <c r="D56" s="69">
        <v>3372.6030000000001</v>
      </c>
      <c r="E56" s="70">
        <f>ROUND((D56-D$7)/D$7*100,1)</f>
        <v>-2.9</v>
      </c>
      <c r="G56" s="138"/>
      <c r="H56" s="69">
        <v>17.452999999999999</v>
      </c>
      <c r="I56" s="70">
        <f>ROUND((H56-H$7)/H$7*100,1)</f>
        <v>8.3000000000000007</v>
      </c>
      <c r="J56" s="69">
        <v>3850.819</v>
      </c>
      <c r="K56" s="70">
        <f>ROUND((J56-J$7)/J$7*100,1)</f>
        <v>-4.4000000000000004</v>
      </c>
    </row>
    <row r="57" spans="1:11" ht="15.75" customHeight="1">
      <c r="A57" s="12" t="s">
        <v>14</v>
      </c>
      <c r="B57" s="69">
        <f>ROUND(AVERAGE(B54:B56),3)</f>
        <v>13.875</v>
      </c>
      <c r="C57" s="135"/>
      <c r="D57" s="69">
        <f>ROUND(AVERAGE(D54:D56),3)</f>
        <v>3433.703</v>
      </c>
      <c r="E57" s="135"/>
      <c r="G57" s="12" t="s">
        <v>14</v>
      </c>
      <c r="H57" s="69">
        <f>ROUND(AVERAGE(H54:H56),3)</f>
        <v>16.744</v>
      </c>
      <c r="I57" s="135"/>
      <c r="J57" s="69">
        <f>ROUND(AVERAGE(J54:J56),3)</f>
        <v>3933.0230000000001</v>
      </c>
      <c r="K57" s="135"/>
    </row>
    <row r="58" spans="1:11" ht="15.75" customHeight="1">
      <c r="A58" s="12" t="s">
        <v>4</v>
      </c>
      <c r="B58" s="69">
        <f>ROUND(STDEV(B54:B56),3)</f>
        <v>0.52900000000000003</v>
      </c>
      <c r="C58" s="136"/>
      <c r="D58" s="69">
        <f>ROUND(STDEV(D54:D56),3)</f>
        <v>56.463000000000001</v>
      </c>
      <c r="E58" s="136"/>
      <c r="G58" s="12" t="s">
        <v>4</v>
      </c>
      <c r="H58" s="69">
        <f>ROUND(STDEV(H54:H56),3)</f>
        <v>0.65</v>
      </c>
      <c r="I58" s="136"/>
      <c r="J58" s="69">
        <f>ROUND(STDEV(J54:J56),3)</f>
        <v>71.566000000000003</v>
      </c>
      <c r="K58" s="136"/>
    </row>
    <row r="59" spans="1:11" ht="15.75" customHeight="1">
      <c r="A59" s="12" t="s">
        <v>60</v>
      </c>
      <c r="B59" s="70">
        <f>ROUND(B58/B57*100,1)</f>
        <v>3.8</v>
      </c>
      <c r="C59" s="136"/>
      <c r="D59" s="70">
        <f>ROUND(D58/D57*100,1)</f>
        <v>1.6</v>
      </c>
      <c r="E59" s="136"/>
      <c r="G59" s="12" t="s">
        <v>60</v>
      </c>
      <c r="H59" s="70">
        <f>ROUND(H58/H57*100,1)</f>
        <v>3.9</v>
      </c>
      <c r="I59" s="136"/>
      <c r="J59" s="70">
        <f>ROUND(J58/J57*100,1)</f>
        <v>1.8</v>
      </c>
      <c r="K59" s="136"/>
    </row>
    <row r="60" spans="1:11" ht="15.75" customHeight="1">
      <c r="A60" s="12" t="s">
        <v>61</v>
      </c>
      <c r="B60" s="70">
        <f>ROUND(B57/B$7*100,1)</f>
        <v>99.9</v>
      </c>
      <c r="C60" s="136"/>
      <c r="D60" s="70">
        <f>ROUND(D57/D$7*100,1)</f>
        <v>98.9</v>
      </c>
      <c r="E60" s="136"/>
      <c r="G60" s="12" t="s">
        <v>61</v>
      </c>
      <c r="H60" s="70">
        <f>ROUND(H57/H$7*100,1)</f>
        <v>103.9</v>
      </c>
      <c r="I60" s="136"/>
      <c r="J60" s="70">
        <f>ROUND(J57/J$7*100,1)</f>
        <v>97.7</v>
      </c>
      <c r="K60" s="136"/>
    </row>
    <row r="61" spans="1:11" ht="15.75" customHeight="1">
      <c r="A61" s="12" t="s">
        <v>59</v>
      </c>
      <c r="B61" s="70">
        <f>ROUND((B57-B$7)/B$7*100,1)</f>
        <v>-0.1</v>
      </c>
      <c r="C61" s="136"/>
      <c r="D61" s="70">
        <f>ROUND((D57-D$7)/D$7*100,1)</f>
        <v>-1.1000000000000001</v>
      </c>
      <c r="E61" s="136"/>
      <c r="G61" s="12" t="s">
        <v>59</v>
      </c>
      <c r="H61" s="70">
        <f>ROUND((H57-H$7)/H$7*100,1)</f>
        <v>3.9</v>
      </c>
      <c r="I61" s="136"/>
      <c r="J61" s="70">
        <f>ROUND((J57-J$7)/J$7*100,1)</f>
        <v>-2.2999999999999998</v>
      </c>
      <c r="K61" s="136"/>
    </row>
    <row r="62" spans="1:11" ht="15.75" customHeight="1">
      <c r="A62" s="12" t="s">
        <v>5</v>
      </c>
      <c r="B62" s="12">
        <v>3</v>
      </c>
      <c r="C62" s="137"/>
      <c r="D62" s="12">
        <v>3</v>
      </c>
      <c r="E62" s="137"/>
      <c r="G62" s="12" t="s">
        <v>5</v>
      </c>
      <c r="H62" s="12">
        <v>3</v>
      </c>
      <c r="I62" s="137"/>
      <c r="J62" s="12">
        <v>3</v>
      </c>
      <c r="K62" s="137"/>
    </row>
    <row r="64" spans="1:11" ht="15.75" customHeight="1">
      <c r="A64" s="76"/>
      <c r="B64" s="15" t="s">
        <v>71</v>
      </c>
      <c r="C64" s="16" t="s">
        <v>72</v>
      </c>
      <c r="G64" s="76"/>
      <c r="H64" s="15" t="s">
        <v>71</v>
      </c>
      <c r="I64" s="16" t="s">
        <v>72</v>
      </c>
    </row>
    <row r="65" spans="1:9" ht="15.75" customHeight="1">
      <c r="A65" s="12" t="s">
        <v>60</v>
      </c>
      <c r="B65" s="17"/>
      <c r="C65" s="18">
        <f>MAX(B14,D14,B23,D23,B32,D32,B41,D41,B50,D50,B59,D59)</f>
        <v>5</v>
      </c>
      <c r="G65" s="12" t="s">
        <v>60</v>
      </c>
      <c r="H65" s="17"/>
      <c r="I65" s="18">
        <f>MAX(H14,J14,H23,J23,H32,J32,H41,J41,H50,J50,H59,J59)</f>
        <v>7.2</v>
      </c>
    </row>
    <row r="66" spans="1:9" ht="15.75" customHeight="1">
      <c r="A66" s="12" t="s">
        <v>59</v>
      </c>
      <c r="B66" s="77">
        <f>MIN(B16,D16,B25,D25,B34,D34,B43,D43,B52,D52,B61,D61)</f>
        <v>-3.5</v>
      </c>
      <c r="C66" s="77">
        <f>MAX(B16,D16,B25,D25,B34,D34,B43,D43,B52,D52,B61,D61)</f>
        <v>2.8</v>
      </c>
      <c r="G66" s="12" t="s">
        <v>59</v>
      </c>
      <c r="H66" s="18">
        <f>MIN(H16,J16,H25,J25,H34,J34,H43,J43,H52,J52,H61,J61)</f>
        <v>-7.2</v>
      </c>
      <c r="I66" s="18">
        <f>MAX(H16,J16,H25,J25,H34,J34,H43,J43,H52,J52,H61,J61)</f>
        <v>10.199999999999999</v>
      </c>
    </row>
  </sheetData>
  <autoFilter ref="A8:GY62" xr:uid="{00000000-0001-0000-0300-000000000000}"/>
  <mergeCells count="46">
    <mergeCell ref="G45:G47"/>
    <mergeCell ref="I48:I53"/>
    <mergeCell ref="K48:K53"/>
    <mergeCell ref="G54:G56"/>
    <mergeCell ref="I57:I62"/>
    <mergeCell ref="K57:K62"/>
    <mergeCell ref="G27:G29"/>
    <mergeCell ref="I30:I35"/>
    <mergeCell ref="K30:K35"/>
    <mergeCell ref="G36:G38"/>
    <mergeCell ref="I39:I44"/>
    <mergeCell ref="K39:K44"/>
    <mergeCell ref="I12:I17"/>
    <mergeCell ref="K12:K17"/>
    <mergeCell ref="G18:G20"/>
    <mergeCell ref="I21:I26"/>
    <mergeCell ref="K21:K26"/>
    <mergeCell ref="G5:I5"/>
    <mergeCell ref="J5:K5"/>
    <mergeCell ref="G6:G8"/>
    <mergeCell ref="I6:I8"/>
    <mergeCell ref="G9:G11"/>
    <mergeCell ref="K6:K8"/>
    <mergeCell ref="A9:A11"/>
    <mergeCell ref="A5:C5"/>
    <mergeCell ref="D5:E5"/>
    <mergeCell ref="A6:A8"/>
    <mergeCell ref="C6:C8"/>
    <mergeCell ref="E6:E8"/>
    <mergeCell ref="A45:A47"/>
    <mergeCell ref="C12:C17"/>
    <mergeCell ref="E12:E17"/>
    <mergeCell ref="A18:A20"/>
    <mergeCell ref="C21:C26"/>
    <mergeCell ref="E21:E26"/>
    <mergeCell ref="A27:A29"/>
    <mergeCell ref="C30:C35"/>
    <mergeCell ref="E30:E35"/>
    <mergeCell ref="A36:A38"/>
    <mergeCell ref="C39:C44"/>
    <mergeCell ref="E39:E44"/>
    <mergeCell ref="C48:C53"/>
    <mergeCell ref="E48:E53"/>
    <mergeCell ref="A54:A56"/>
    <mergeCell ref="C57:C62"/>
    <mergeCell ref="E57:E62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44" orientation="landscape" r:id="rId1"/>
  <headerFooter>
    <oddHeader>&amp;CSSC23009MV01验证数据汇总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2:P128"/>
  <sheetViews>
    <sheetView zoomScaleNormal="100" zoomScaleSheetLayoutView="100" workbookViewId="0">
      <selection activeCell="C9" sqref="C9:C16"/>
    </sheetView>
  </sheetViews>
  <sheetFormatPr defaultColWidth="8.86328125" defaultRowHeight="13.5"/>
  <cols>
    <col min="1" max="1" width="22.46484375" style="21" customWidth="1"/>
    <col min="2" max="2" width="9.86328125" style="21" customWidth="1"/>
    <col min="3" max="10" width="10.86328125" style="21" customWidth="1"/>
    <col min="11" max="11" width="12.3984375" style="21" customWidth="1"/>
    <col min="12" max="12" width="12" style="21" customWidth="1"/>
    <col min="13" max="16384" width="8.86328125" style="21"/>
  </cols>
  <sheetData>
    <row r="2" spans="1:16">
      <c r="A2" s="122" t="s">
        <v>28</v>
      </c>
      <c r="B2" s="122"/>
      <c r="C2" s="122"/>
      <c r="D2" s="122"/>
      <c r="E2" s="122"/>
    </row>
    <row r="3" spans="1:16">
      <c r="A3" s="22"/>
      <c r="B3" s="22"/>
      <c r="C3" s="22"/>
      <c r="D3" s="22"/>
      <c r="E3" s="22"/>
    </row>
    <row r="4" spans="1:16">
      <c r="A4" s="145" t="s">
        <v>183</v>
      </c>
      <c r="B4" s="146"/>
      <c r="C4" s="146"/>
      <c r="D4" s="146"/>
      <c r="E4" s="146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6">
      <c r="A5" s="53" t="s">
        <v>127</v>
      </c>
      <c r="B5" s="53"/>
      <c r="C5" s="54"/>
      <c r="D5" s="53"/>
      <c r="E5" s="53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1:16" ht="14.1" customHeight="1">
      <c r="A6" s="156" t="s">
        <v>9</v>
      </c>
      <c r="B6" s="156" t="s">
        <v>8</v>
      </c>
      <c r="C6" s="55" t="s">
        <v>0</v>
      </c>
      <c r="D6" s="156" t="s">
        <v>42</v>
      </c>
      <c r="E6" s="56" t="s">
        <v>3</v>
      </c>
      <c r="F6" s="156" t="s">
        <v>42</v>
      </c>
      <c r="G6" s="56" t="s">
        <v>56</v>
      </c>
      <c r="H6" s="156" t="s">
        <v>42</v>
      </c>
      <c r="I6" s="56" t="s">
        <v>57</v>
      </c>
      <c r="J6" s="156" t="s">
        <v>42</v>
      </c>
      <c r="K6" s="56" t="s">
        <v>1</v>
      </c>
      <c r="L6" s="156" t="s">
        <v>42</v>
      </c>
      <c r="M6" s="52"/>
      <c r="N6" s="52"/>
      <c r="O6" s="52"/>
      <c r="P6" s="52"/>
    </row>
    <row r="7" spans="1:16" ht="14.1" customHeight="1">
      <c r="A7" s="156"/>
      <c r="B7" s="156"/>
      <c r="C7" s="57">
        <v>4.63</v>
      </c>
      <c r="D7" s="156"/>
      <c r="E7" s="57">
        <v>13.888999999999999</v>
      </c>
      <c r="F7" s="156"/>
      <c r="G7" s="57">
        <v>138.89400000000001</v>
      </c>
      <c r="H7" s="156"/>
      <c r="I7" s="57">
        <v>1388.942</v>
      </c>
      <c r="J7" s="156"/>
      <c r="K7" s="57">
        <v>3472.3539999999998</v>
      </c>
      <c r="L7" s="156"/>
      <c r="M7" s="52"/>
      <c r="N7" s="52"/>
      <c r="O7" s="52"/>
      <c r="P7" s="52"/>
    </row>
    <row r="8" spans="1:16" ht="14.1" customHeight="1">
      <c r="A8" s="156"/>
      <c r="B8" s="156"/>
      <c r="C8" s="58" t="s">
        <v>158</v>
      </c>
      <c r="D8" s="156"/>
      <c r="E8" s="58" t="s">
        <v>158</v>
      </c>
      <c r="F8" s="156"/>
      <c r="G8" s="58" t="s">
        <v>158</v>
      </c>
      <c r="H8" s="156"/>
      <c r="I8" s="58" t="s">
        <v>158</v>
      </c>
      <c r="J8" s="156"/>
      <c r="K8" s="58" t="s">
        <v>158</v>
      </c>
      <c r="L8" s="156"/>
      <c r="M8" s="52"/>
      <c r="N8" s="52"/>
      <c r="O8" s="52"/>
      <c r="P8" s="52"/>
    </row>
    <row r="9" spans="1:16">
      <c r="A9" s="155">
        <v>45903</v>
      </c>
      <c r="B9" s="157">
        <v>2</v>
      </c>
      <c r="C9" s="90">
        <v>4.1689999999999996</v>
      </c>
      <c r="D9" s="91">
        <v>-10</v>
      </c>
      <c r="E9" s="90">
        <v>13.484</v>
      </c>
      <c r="F9" s="91">
        <v>-2.9</v>
      </c>
      <c r="G9" s="90">
        <v>131.89599999999999</v>
      </c>
      <c r="H9" s="91">
        <v>-5</v>
      </c>
      <c r="I9" s="90">
        <v>1357.2260000000001</v>
      </c>
      <c r="J9" s="91">
        <v>-2.2999999999999998</v>
      </c>
      <c r="K9" s="90">
        <v>3250.7060000000001</v>
      </c>
      <c r="L9" s="91">
        <v>-6.4</v>
      </c>
      <c r="M9" s="52"/>
      <c r="N9" s="52"/>
      <c r="O9" s="52"/>
      <c r="P9" s="52"/>
    </row>
    <row r="10" spans="1:16">
      <c r="A10" s="155"/>
      <c r="B10" s="158"/>
      <c r="C10" s="90">
        <v>4.1929999999999996</v>
      </c>
      <c r="D10" s="91">
        <v>-9.4</v>
      </c>
      <c r="E10" s="90">
        <v>12.993</v>
      </c>
      <c r="F10" s="91">
        <v>-6.5</v>
      </c>
      <c r="G10" s="90">
        <v>141.86799999999999</v>
      </c>
      <c r="H10" s="91">
        <v>2.1</v>
      </c>
      <c r="I10" s="90">
        <v>1411.54</v>
      </c>
      <c r="J10" s="91">
        <v>1.6</v>
      </c>
      <c r="K10" s="90">
        <v>3275.3719999999998</v>
      </c>
      <c r="L10" s="91">
        <v>-5.7</v>
      </c>
      <c r="M10" s="52"/>
      <c r="N10" s="52"/>
      <c r="O10" s="52"/>
      <c r="P10" s="52"/>
    </row>
    <row r="11" spans="1:16">
      <c r="A11" s="155"/>
      <c r="B11" s="158"/>
      <c r="C11" s="90">
        <v>4.5880000000000001</v>
      </c>
      <c r="D11" s="91">
        <v>-0.9</v>
      </c>
      <c r="E11" s="90">
        <v>13.029</v>
      </c>
      <c r="F11" s="91">
        <v>-6.2</v>
      </c>
      <c r="G11" s="90">
        <v>138.66</v>
      </c>
      <c r="H11" s="91">
        <v>-0.2</v>
      </c>
      <c r="I11" s="90">
        <v>1413.1189999999999</v>
      </c>
      <c r="J11" s="91">
        <v>1.7</v>
      </c>
      <c r="K11" s="90">
        <v>3207.1750000000002</v>
      </c>
      <c r="L11" s="91">
        <v>-7.6</v>
      </c>
      <c r="M11" s="52"/>
      <c r="N11" s="52"/>
      <c r="O11" s="52"/>
      <c r="P11" s="52"/>
    </row>
    <row r="12" spans="1:16">
      <c r="A12" s="155"/>
      <c r="B12" s="158"/>
      <c r="C12" s="90">
        <v>4.8819999999999997</v>
      </c>
      <c r="D12" s="91">
        <v>5.4</v>
      </c>
      <c r="E12" s="90">
        <v>14.412000000000001</v>
      </c>
      <c r="F12" s="91">
        <v>3.8</v>
      </c>
      <c r="G12" s="90">
        <v>150.447</v>
      </c>
      <c r="H12" s="91">
        <v>8.3000000000000007</v>
      </c>
      <c r="I12" s="90">
        <v>1386.7139999999999</v>
      </c>
      <c r="J12" s="91">
        <v>-0.2</v>
      </c>
      <c r="K12" s="90">
        <v>3464.1619999999998</v>
      </c>
      <c r="L12" s="91">
        <v>-0.2</v>
      </c>
      <c r="M12" s="52"/>
      <c r="N12" s="52"/>
      <c r="O12" s="52"/>
      <c r="P12" s="52"/>
    </row>
    <row r="13" spans="1:16">
      <c r="A13" s="155"/>
      <c r="B13" s="158"/>
      <c r="C13" s="90">
        <v>4.6399999999999997</v>
      </c>
      <c r="D13" s="91">
        <v>0.2</v>
      </c>
      <c r="E13" s="90">
        <v>14.035</v>
      </c>
      <c r="F13" s="91">
        <v>1.1000000000000001</v>
      </c>
      <c r="G13" s="90">
        <v>143.68199999999999</v>
      </c>
      <c r="H13" s="91">
        <v>3.4</v>
      </c>
      <c r="I13" s="90">
        <v>1360.088</v>
      </c>
      <c r="J13" s="91">
        <v>-2.1</v>
      </c>
      <c r="K13" s="90">
        <v>3405.1309999999999</v>
      </c>
      <c r="L13" s="91">
        <v>-1.9</v>
      </c>
      <c r="M13" s="52"/>
      <c r="N13" s="52"/>
      <c r="O13" s="52"/>
      <c r="P13" s="52"/>
    </row>
    <row r="14" spans="1:16">
      <c r="A14" s="155"/>
      <c r="B14" s="159"/>
      <c r="C14" s="90">
        <v>4.6779999999999999</v>
      </c>
      <c r="D14" s="91">
        <v>1</v>
      </c>
      <c r="E14" s="90">
        <v>14.435</v>
      </c>
      <c r="F14" s="91">
        <v>3.9</v>
      </c>
      <c r="G14" s="90">
        <v>147.63300000000001</v>
      </c>
      <c r="H14" s="91">
        <v>6.3</v>
      </c>
      <c r="I14" s="90">
        <v>1421.8679999999999</v>
      </c>
      <c r="J14" s="91">
        <v>2.4</v>
      </c>
      <c r="K14" s="90">
        <v>3591.8049999999998</v>
      </c>
      <c r="L14" s="91">
        <v>3.4</v>
      </c>
      <c r="M14" s="52"/>
      <c r="N14" s="52"/>
      <c r="O14" s="52"/>
      <c r="P14" s="52"/>
    </row>
    <row r="15" spans="1:16" ht="13.5" customHeight="1">
      <c r="A15" s="56" t="s">
        <v>78</v>
      </c>
      <c r="B15" s="147"/>
      <c r="C15" s="90">
        <v>4.5250000000000004</v>
      </c>
      <c r="D15" s="147"/>
      <c r="E15" s="90">
        <v>13.731</v>
      </c>
      <c r="F15" s="147"/>
      <c r="G15" s="90">
        <v>142.364</v>
      </c>
      <c r="H15" s="147"/>
      <c r="I15" s="90">
        <v>1391.759</v>
      </c>
      <c r="J15" s="147"/>
      <c r="K15" s="90">
        <v>3365.7249999999999</v>
      </c>
      <c r="L15" s="147"/>
      <c r="M15" s="52"/>
      <c r="N15" s="52"/>
      <c r="O15" s="52"/>
      <c r="P15" s="52"/>
    </row>
    <row r="16" spans="1:16" ht="13.5" customHeight="1">
      <c r="A16" s="56" t="s">
        <v>79</v>
      </c>
      <c r="B16" s="148"/>
      <c r="C16" s="90">
        <v>0.28499999999999998</v>
      </c>
      <c r="D16" s="148"/>
      <c r="E16" s="90">
        <v>0.65600000000000003</v>
      </c>
      <c r="F16" s="148"/>
      <c r="G16" s="90">
        <v>6.609</v>
      </c>
      <c r="H16" s="148"/>
      <c r="I16" s="90">
        <v>28.196000000000002</v>
      </c>
      <c r="J16" s="148"/>
      <c r="K16" s="90">
        <v>147.571</v>
      </c>
      <c r="L16" s="148"/>
      <c r="M16" s="52"/>
      <c r="N16" s="52"/>
      <c r="O16" s="52"/>
      <c r="P16" s="52"/>
    </row>
    <row r="17" spans="1:16" ht="13.5" customHeight="1">
      <c r="A17" s="56" t="s">
        <v>44</v>
      </c>
      <c r="B17" s="148"/>
      <c r="C17" s="91">
        <v>6.3</v>
      </c>
      <c r="D17" s="148"/>
      <c r="E17" s="91">
        <v>4.8</v>
      </c>
      <c r="F17" s="148"/>
      <c r="G17" s="91">
        <v>4.5999999999999996</v>
      </c>
      <c r="H17" s="148"/>
      <c r="I17" s="91">
        <v>2</v>
      </c>
      <c r="J17" s="148"/>
      <c r="K17" s="91">
        <v>4.4000000000000004</v>
      </c>
      <c r="L17" s="148"/>
      <c r="M17" s="52"/>
      <c r="N17" s="52"/>
      <c r="O17" s="52"/>
      <c r="P17" s="52"/>
    </row>
    <row r="18" spans="1:16" ht="13.5" customHeight="1">
      <c r="A18" s="56" t="s">
        <v>45</v>
      </c>
      <c r="B18" s="148"/>
      <c r="C18" s="91">
        <v>-2.2999999999999998</v>
      </c>
      <c r="D18" s="148"/>
      <c r="E18" s="91">
        <v>-1.1000000000000001</v>
      </c>
      <c r="F18" s="148"/>
      <c r="G18" s="91">
        <v>2.5</v>
      </c>
      <c r="H18" s="148"/>
      <c r="I18" s="91">
        <v>0.2</v>
      </c>
      <c r="J18" s="148"/>
      <c r="K18" s="91">
        <v>-3.1</v>
      </c>
      <c r="L18" s="148"/>
      <c r="M18" s="52"/>
      <c r="N18" s="52"/>
      <c r="O18" s="52"/>
      <c r="P18" s="52"/>
    </row>
    <row r="19" spans="1:16" ht="13.5" customHeight="1">
      <c r="A19" s="56" t="s">
        <v>5</v>
      </c>
      <c r="B19" s="149"/>
      <c r="C19" s="89">
        <v>6</v>
      </c>
      <c r="D19" s="149"/>
      <c r="E19" s="89">
        <v>6</v>
      </c>
      <c r="F19" s="149"/>
      <c r="G19" s="89">
        <v>6</v>
      </c>
      <c r="H19" s="149"/>
      <c r="I19" s="89">
        <v>6</v>
      </c>
      <c r="J19" s="149"/>
      <c r="K19" s="89">
        <v>6</v>
      </c>
      <c r="L19" s="149"/>
      <c r="M19" s="52"/>
      <c r="N19" s="52"/>
      <c r="O19" s="52"/>
      <c r="P19" s="52"/>
    </row>
    <row r="20" spans="1:16">
      <c r="A20" s="155">
        <v>45905</v>
      </c>
      <c r="B20" s="152">
        <v>4</v>
      </c>
      <c r="C20" s="90">
        <v>4.4660000000000002</v>
      </c>
      <c r="D20" s="91">
        <v>-3.5</v>
      </c>
      <c r="E20" s="90">
        <v>14.170999999999999</v>
      </c>
      <c r="F20" s="91">
        <v>2</v>
      </c>
      <c r="G20" s="90">
        <v>139.738</v>
      </c>
      <c r="H20" s="91">
        <v>0.6</v>
      </c>
      <c r="I20" s="90">
        <v>1249.5519999999999</v>
      </c>
      <c r="J20" s="91">
        <v>-10</v>
      </c>
      <c r="K20" s="90">
        <v>3105.4549999999999</v>
      </c>
      <c r="L20" s="91">
        <v>-10.6</v>
      </c>
      <c r="M20" s="52"/>
      <c r="N20" s="21" t="s">
        <v>104</v>
      </c>
    </row>
    <row r="21" spans="1:16">
      <c r="A21" s="155"/>
      <c r="B21" s="153"/>
      <c r="C21" s="90">
        <v>4.883</v>
      </c>
      <c r="D21" s="91">
        <v>5.5</v>
      </c>
      <c r="E21" s="90">
        <v>13.76</v>
      </c>
      <c r="F21" s="91">
        <v>-0.9</v>
      </c>
      <c r="G21" s="90">
        <v>126.622</v>
      </c>
      <c r="H21" s="91">
        <v>-8.8000000000000007</v>
      </c>
      <c r="I21" s="90">
        <v>1257.29</v>
      </c>
      <c r="J21" s="91">
        <v>-9.5</v>
      </c>
      <c r="K21" s="90">
        <v>3270.462</v>
      </c>
      <c r="L21" s="91">
        <v>-5.8</v>
      </c>
      <c r="M21" s="52"/>
      <c r="N21" s="21" t="s">
        <v>105</v>
      </c>
      <c r="O21" s="21" t="s">
        <v>51</v>
      </c>
      <c r="P21" s="21" t="s">
        <v>52</v>
      </c>
    </row>
    <row r="22" spans="1:16">
      <c r="A22" s="155"/>
      <c r="B22" s="153"/>
      <c r="C22" s="90">
        <v>4.0330000000000004</v>
      </c>
      <c r="D22" s="91">
        <v>-12.9</v>
      </c>
      <c r="E22" s="90">
        <v>15.188000000000001</v>
      </c>
      <c r="F22" s="91">
        <v>9.4</v>
      </c>
      <c r="G22" s="90">
        <v>135.05799999999999</v>
      </c>
      <c r="H22" s="91">
        <v>-2.8</v>
      </c>
      <c r="I22" s="90">
        <v>1347.203</v>
      </c>
      <c r="J22" s="91">
        <v>-3</v>
      </c>
      <c r="K22" s="90">
        <v>3001.8739999999998</v>
      </c>
      <c r="L22" s="91">
        <v>-13.5</v>
      </c>
      <c r="M22" s="52"/>
      <c r="N22" s="21" t="s">
        <v>53</v>
      </c>
      <c r="O22" s="59">
        <f>MAX(E18,G18,I18,K18,E29,G29,I29,K29,E40,G40,I40,K40)</f>
        <v>2.5</v>
      </c>
      <c r="P22" s="59">
        <f>MIN(E18,G18,I18,K18,E29,G29,I29,K29,E40,G40,I40,K40)</f>
        <v>-4.5999999999999996</v>
      </c>
    </row>
    <row r="23" spans="1:16">
      <c r="A23" s="155"/>
      <c r="B23" s="153"/>
      <c r="C23" s="90">
        <v>4.3040000000000003</v>
      </c>
      <c r="D23" s="91">
        <v>-7</v>
      </c>
      <c r="E23" s="90">
        <v>14.477</v>
      </c>
      <c r="F23" s="91">
        <v>4.2</v>
      </c>
      <c r="G23" s="90">
        <v>145.703</v>
      </c>
      <c r="H23" s="91">
        <v>4.9000000000000004</v>
      </c>
      <c r="I23" s="90">
        <v>1429.3130000000001</v>
      </c>
      <c r="J23" s="91">
        <v>2.9</v>
      </c>
      <c r="K23" s="90">
        <v>3516.154</v>
      </c>
      <c r="L23" s="91">
        <v>1.3</v>
      </c>
      <c r="M23" s="52"/>
      <c r="N23" s="21" t="s">
        <v>54</v>
      </c>
      <c r="O23" s="59">
        <f>MAX(E17,G17,I17,K17,E28,G28,I28,K28,E39,G39,I39,K39)</f>
        <v>7.4</v>
      </c>
      <c r="P23" s="59">
        <f>MIN(E17,G17,I17,K17,E28,G28,I28,K28,E39,G39,I39,K39)</f>
        <v>2</v>
      </c>
    </row>
    <row r="24" spans="1:16">
      <c r="A24" s="155"/>
      <c r="B24" s="153"/>
      <c r="C24" s="90">
        <v>4.444</v>
      </c>
      <c r="D24" s="91">
        <v>-4</v>
      </c>
      <c r="E24" s="90">
        <v>13.381</v>
      </c>
      <c r="F24" s="91">
        <v>-3.7</v>
      </c>
      <c r="G24" s="90">
        <v>146.14599999999999</v>
      </c>
      <c r="H24" s="91">
        <v>5.2</v>
      </c>
      <c r="I24" s="90">
        <v>1435.66</v>
      </c>
      <c r="J24" s="91">
        <v>3.4</v>
      </c>
      <c r="K24" s="90">
        <v>3475.8040000000001</v>
      </c>
      <c r="L24" s="91">
        <v>0.1</v>
      </c>
      <c r="M24" s="52"/>
    </row>
    <row r="25" spans="1:16">
      <c r="A25" s="155"/>
      <c r="B25" s="154"/>
      <c r="C25" s="90">
        <v>4.3949999999999996</v>
      </c>
      <c r="D25" s="91">
        <v>-5.0999999999999996</v>
      </c>
      <c r="E25" s="90">
        <v>13.355</v>
      </c>
      <c r="F25" s="91">
        <v>-3.8</v>
      </c>
      <c r="G25" s="90">
        <v>157.203</v>
      </c>
      <c r="H25" s="91">
        <v>13.2</v>
      </c>
      <c r="I25" s="90">
        <v>1425.239</v>
      </c>
      <c r="J25" s="91">
        <v>2.6</v>
      </c>
      <c r="K25" s="90">
        <v>3513.0659999999998</v>
      </c>
      <c r="L25" s="91">
        <v>1.2</v>
      </c>
      <c r="M25" s="52"/>
      <c r="N25" s="21" t="s">
        <v>106</v>
      </c>
      <c r="O25" s="21" t="s">
        <v>51</v>
      </c>
      <c r="P25" s="21" t="s">
        <v>52</v>
      </c>
    </row>
    <row r="26" spans="1:16" ht="13.5" customHeight="1">
      <c r="A26" s="56" t="s">
        <v>78</v>
      </c>
      <c r="B26" s="147"/>
      <c r="C26" s="90">
        <v>4.4210000000000003</v>
      </c>
      <c r="D26" s="147"/>
      <c r="E26" s="90">
        <v>14.055</v>
      </c>
      <c r="F26" s="147"/>
      <c r="G26" s="90">
        <v>141.745</v>
      </c>
      <c r="H26" s="147"/>
      <c r="I26" s="90">
        <v>1357.376</v>
      </c>
      <c r="J26" s="147"/>
      <c r="K26" s="90">
        <v>3313.8029999999999</v>
      </c>
      <c r="L26" s="147"/>
      <c r="M26" s="52"/>
      <c r="N26" s="21" t="s">
        <v>53</v>
      </c>
      <c r="O26" s="59">
        <f>MAX(E45,G45,I45,K45)</f>
        <v>1.2</v>
      </c>
      <c r="P26" s="59">
        <f>MIN(E45,G45,I45,K45)</f>
        <v>-3.3</v>
      </c>
    </row>
    <row r="27" spans="1:16" ht="13.5" customHeight="1">
      <c r="A27" s="56" t="s">
        <v>79</v>
      </c>
      <c r="B27" s="148"/>
      <c r="C27" s="90">
        <v>0.27600000000000002</v>
      </c>
      <c r="D27" s="148"/>
      <c r="E27" s="90">
        <v>0.70799999999999996</v>
      </c>
      <c r="F27" s="148"/>
      <c r="G27" s="90">
        <v>10.502000000000001</v>
      </c>
      <c r="H27" s="148"/>
      <c r="I27" s="90">
        <v>86.781999999999996</v>
      </c>
      <c r="J27" s="148"/>
      <c r="K27" s="90">
        <v>223.375</v>
      </c>
      <c r="L27" s="148"/>
      <c r="M27" s="52"/>
      <c r="N27" s="21" t="s">
        <v>54</v>
      </c>
      <c r="O27" s="59">
        <f>MAX(E44,G44,I44,K44)</f>
        <v>5.6</v>
      </c>
      <c r="P27" s="59">
        <f>MIN(E44,G44,I44,K44)</f>
        <v>4.3</v>
      </c>
    </row>
    <row r="28" spans="1:16" ht="13.5" customHeight="1">
      <c r="A28" s="56" t="s">
        <v>34</v>
      </c>
      <c r="B28" s="148"/>
      <c r="C28" s="91">
        <v>6.2</v>
      </c>
      <c r="D28" s="148"/>
      <c r="E28" s="91">
        <v>5</v>
      </c>
      <c r="F28" s="148"/>
      <c r="G28" s="91">
        <v>7.4</v>
      </c>
      <c r="H28" s="148"/>
      <c r="I28" s="91">
        <v>6.4</v>
      </c>
      <c r="J28" s="148"/>
      <c r="K28" s="91">
        <v>6.7</v>
      </c>
      <c r="L28" s="148"/>
      <c r="M28" s="52"/>
    </row>
    <row r="29" spans="1:16" ht="13.5" customHeight="1">
      <c r="A29" s="56" t="s">
        <v>35</v>
      </c>
      <c r="B29" s="148"/>
      <c r="C29" s="91">
        <v>-4.5</v>
      </c>
      <c r="D29" s="148"/>
      <c r="E29" s="91">
        <v>1.2</v>
      </c>
      <c r="F29" s="148"/>
      <c r="G29" s="91">
        <v>2.1</v>
      </c>
      <c r="H29" s="148"/>
      <c r="I29" s="91">
        <v>-2.2999999999999998</v>
      </c>
      <c r="J29" s="148"/>
      <c r="K29" s="91">
        <v>-4.5999999999999996</v>
      </c>
      <c r="L29" s="148"/>
      <c r="M29" s="52"/>
      <c r="N29" s="21" t="s">
        <v>55</v>
      </c>
    </row>
    <row r="30" spans="1:16" ht="13.5" customHeight="1">
      <c r="A30" s="56" t="s">
        <v>5</v>
      </c>
      <c r="B30" s="149"/>
      <c r="C30" s="89">
        <v>6</v>
      </c>
      <c r="D30" s="149"/>
      <c r="E30" s="89">
        <v>6</v>
      </c>
      <c r="F30" s="149"/>
      <c r="G30" s="89">
        <v>6</v>
      </c>
      <c r="H30" s="149"/>
      <c r="I30" s="89">
        <v>6</v>
      </c>
      <c r="J30" s="149"/>
      <c r="K30" s="89">
        <v>6</v>
      </c>
      <c r="L30" s="149"/>
      <c r="M30" s="52"/>
      <c r="N30" s="21" t="s">
        <v>105</v>
      </c>
      <c r="O30" s="21" t="s">
        <v>51</v>
      </c>
      <c r="P30" s="21" t="s">
        <v>52</v>
      </c>
    </row>
    <row r="31" spans="1:16">
      <c r="A31" s="155">
        <v>45909</v>
      </c>
      <c r="B31" s="152">
        <v>7</v>
      </c>
      <c r="C31" s="90">
        <v>4.6230000000000002</v>
      </c>
      <c r="D31" s="91">
        <v>-0.2</v>
      </c>
      <c r="E31" s="90">
        <v>13.356</v>
      </c>
      <c r="F31" s="91">
        <v>-3.8</v>
      </c>
      <c r="G31" s="90">
        <v>143.00399999999999</v>
      </c>
      <c r="H31" s="91">
        <v>3</v>
      </c>
      <c r="I31" s="90">
        <v>1438.837</v>
      </c>
      <c r="J31" s="91">
        <v>3.6</v>
      </c>
      <c r="K31" s="90">
        <v>3618.6260000000002</v>
      </c>
      <c r="L31" s="91">
        <v>4.2</v>
      </c>
      <c r="M31" s="52"/>
      <c r="N31" s="21" t="s">
        <v>53</v>
      </c>
      <c r="O31" s="59">
        <f>MAX(C18,C29,C40)</f>
        <v>-2</v>
      </c>
      <c r="P31" s="59">
        <f>MIN(C18,C29,C40)</f>
        <v>-4.5</v>
      </c>
    </row>
    <row r="32" spans="1:16">
      <c r="A32" s="155"/>
      <c r="B32" s="153"/>
      <c r="C32" s="90">
        <v>4.3410000000000002</v>
      </c>
      <c r="D32" s="91">
        <v>-6.2</v>
      </c>
      <c r="E32" s="90">
        <v>14.948</v>
      </c>
      <c r="F32" s="91">
        <v>7.6</v>
      </c>
      <c r="G32" s="90">
        <v>132.47800000000001</v>
      </c>
      <c r="H32" s="91">
        <v>-4.5999999999999996</v>
      </c>
      <c r="I32" s="90">
        <v>1401.8869999999999</v>
      </c>
      <c r="J32" s="91">
        <v>0.9</v>
      </c>
      <c r="K32" s="90">
        <v>3423.723</v>
      </c>
      <c r="L32" s="91">
        <v>-1.4</v>
      </c>
      <c r="M32" s="52"/>
      <c r="N32" s="21" t="s">
        <v>54</v>
      </c>
      <c r="O32" s="59">
        <f>MAX(C17,C28,C39)</f>
        <v>6.3</v>
      </c>
      <c r="P32" s="59">
        <f>MIN(C17,C28,C39)</f>
        <v>4.3</v>
      </c>
    </row>
    <row r="33" spans="1:16">
      <c r="A33" s="155"/>
      <c r="B33" s="153"/>
      <c r="C33" s="90">
        <v>4.3650000000000002</v>
      </c>
      <c r="D33" s="91">
        <v>-5.7</v>
      </c>
      <c r="E33" s="90">
        <v>14.15</v>
      </c>
      <c r="F33" s="91">
        <v>1.9</v>
      </c>
      <c r="G33" s="90">
        <v>145.203</v>
      </c>
      <c r="H33" s="91">
        <v>4.5</v>
      </c>
      <c r="I33" s="90">
        <v>1404.8130000000001</v>
      </c>
      <c r="J33" s="91">
        <v>1.1000000000000001</v>
      </c>
      <c r="K33" s="90">
        <v>3532.31</v>
      </c>
      <c r="L33" s="91">
        <v>1.7</v>
      </c>
      <c r="M33" s="52"/>
    </row>
    <row r="34" spans="1:16">
      <c r="A34" s="155"/>
      <c r="B34" s="153"/>
      <c r="C34" s="90">
        <v>4.4249999999999998</v>
      </c>
      <c r="D34" s="91">
        <v>-4.4000000000000004</v>
      </c>
      <c r="E34" s="90">
        <v>13.064</v>
      </c>
      <c r="F34" s="91">
        <v>-5.9</v>
      </c>
      <c r="G34" s="90">
        <v>142.78399999999999</v>
      </c>
      <c r="H34" s="91">
        <v>2.8</v>
      </c>
      <c r="I34" s="90">
        <v>1470.546</v>
      </c>
      <c r="J34" s="91">
        <v>5.9</v>
      </c>
      <c r="K34" s="90">
        <v>3290.8679999999999</v>
      </c>
      <c r="L34" s="91">
        <v>-5.2</v>
      </c>
      <c r="M34" s="52"/>
      <c r="N34" s="21" t="s">
        <v>107</v>
      </c>
      <c r="O34" s="21" t="s">
        <v>51</v>
      </c>
      <c r="P34" s="21" t="s">
        <v>52</v>
      </c>
    </row>
    <row r="35" spans="1:16">
      <c r="A35" s="155"/>
      <c r="B35" s="153"/>
      <c r="C35" s="90">
        <v>4.8460000000000001</v>
      </c>
      <c r="D35" s="91">
        <v>4.7</v>
      </c>
      <c r="E35" s="90">
        <v>12.86</v>
      </c>
      <c r="F35" s="91">
        <v>-7.4</v>
      </c>
      <c r="G35" s="90">
        <v>131.179</v>
      </c>
      <c r="H35" s="91">
        <v>-5.6</v>
      </c>
      <c r="I35" s="90">
        <v>1399.694</v>
      </c>
      <c r="J35" s="91">
        <v>0.8</v>
      </c>
      <c r="K35" s="90">
        <v>3279.67</v>
      </c>
      <c r="L35" s="91">
        <v>-5.5</v>
      </c>
      <c r="M35" s="52"/>
      <c r="N35" s="21" t="s">
        <v>53</v>
      </c>
      <c r="O35" s="59">
        <f>MAX(C45)</f>
        <v>-2.9</v>
      </c>
      <c r="P35" s="59">
        <f>MIN(C45)</f>
        <v>-2.9</v>
      </c>
    </row>
    <row r="36" spans="1:16">
      <c r="A36" s="155"/>
      <c r="B36" s="154"/>
      <c r="C36" s="90">
        <v>4.6180000000000003</v>
      </c>
      <c r="D36" s="91">
        <v>-0.3</v>
      </c>
      <c r="E36" s="90">
        <v>13.847</v>
      </c>
      <c r="F36" s="91">
        <v>-0.3</v>
      </c>
      <c r="G36" s="90">
        <v>131.274</v>
      </c>
      <c r="H36" s="91">
        <v>-5.5</v>
      </c>
      <c r="I36" s="90">
        <v>1335.7139999999999</v>
      </c>
      <c r="J36" s="91">
        <v>-3.8</v>
      </c>
      <c r="K36" s="90">
        <v>3213.922</v>
      </c>
      <c r="L36" s="91">
        <v>-7.4</v>
      </c>
      <c r="M36" s="52"/>
      <c r="N36" s="21" t="s">
        <v>54</v>
      </c>
      <c r="O36" s="59">
        <f>MAX(C44)</f>
        <v>5.5</v>
      </c>
      <c r="P36" s="59">
        <f>MIN(C44)</f>
        <v>5.5</v>
      </c>
    </row>
    <row r="37" spans="1:16" ht="14.1" customHeight="1">
      <c r="A37" s="56" t="s">
        <v>78</v>
      </c>
      <c r="B37" s="147"/>
      <c r="C37" s="90">
        <v>4.5359999999999996</v>
      </c>
      <c r="D37" s="147"/>
      <c r="E37" s="90">
        <v>13.704000000000001</v>
      </c>
      <c r="F37" s="147"/>
      <c r="G37" s="90">
        <v>137.654</v>
      </c>
      <c r="H37" s="147"/>
      <c r="I37" s="90">
        <v>1408.5820000000001</v>
      </c>
      <c r="J37" s="147"/>
      <c r="K37" s="90">
        <v>3393.1869999999999</v>
      </c>
      <c r="L37" s="147"/>
      <c r="M37" s="52"/>
      <c r="N37" s="52"/>
      <c r="O37" s="52"/>
      <c r="P37" s="52"/>
    </row>
    <row r="38" spans="1:16" ht="14.1" customHeight="1">
      <c r="A38" s="56" t="s">
        <v>79</v>
      </c>
      <c r="B38" s="148"/>
      <c r="C38" s="90">
        <v>0.19500000000000001</v>
      </c>
      <c r="D38" s="148"/>
      <c r="E38" s="90">
        <v>0.77600000000000002</v>
      </c>
      <c r="F38" s="148"/>
      <c r="G38" s="90">
        <v>6.6539999999999999</v>
      </c>
      <c r="H38" s="148"/>
      <c r="I38" s="90">
        <v>45.171999999999997</v>
      </c>
      <c r="J38" s="148"/>
      <c r="K38" s="90">
        <v>159.124</v>
      </c>
      <c r="L38" s="148"/>
      <c r="M38" s="52"/>
      <c r="N38" s="52"/>
      <c r="O38" s="52"/>
      <c r="P38" s="52"/>
    </row>
    <row r="39" spans="1:16" ht="14.1" customHeight="1">
      <c r="A39" s="56" t="s">
        <v>34</v>
      </c>
      <c r="B39" s="148"/>
      <c r="C39" s="91">
        <v>4.3</v>
      </c>
      <c r="D39" s="148"/>
      <c r="E39" s="91">
        <v>5.7</v>
      </c>
      <c r="F39" s="148"/>
      <c r="G39" s="91">
        <v>4.8</v>
      </c>
      <c r="H39" s="148"/>
      <c r="I39" s="91">
        <v>3.2</v>
      </c>
      <c r="J39" s="148"/>
      <c r="K39" s="91">
        <v>4.7</v>
      </c>
      <c r="L39" s="148"/>
      <c r="M39" s="52"/>
      <c r="N39" s="52"/>
      <c r="O39" s="52"/>
      <c r="P39" s="52"/>
    </row>
    <row r="40" spans="1:16" ht="14.1" customHeight="1">
      <c r="A40" s="56" t="s">
        <v>35</v>
      </c>
      <c r="B40" s="148"/>
      <c r="C40" s="91">
        <v>-2</v>
      </c>
      <c r="D40" s="148"/>
      <c r="E40" s="91">
        <v>-1.3</v>
      </c>
      <c r="F40" s="148"/>
      <c r="G40" s="91">
        <v>-0.9</v>
      </c>
      <c r="H40" s="148"/>
      <c r="I40" s="91">
        <v>1.4</v>
      </c>
      <c r="J40" s="148"/>
      <c r="K40" s="91">
        <v>-2.2999999999999998</v>
      </c>
      <c r="L40" s="148"/>
      <c r="M40" s="52"/>
      <c r="N40" s="52"/>
      <c r="O40" s="52"/>
      <c r="P40" s="52"/>
    </row>
    <row r="41" spans="1:16" ht="14.1" customHeight="1">
      <c r="A41" s="56" t="s">
        <v>5</v>
      </c>
      <c r="B41" s="149"/>
      <c r="C41" s="89">
        <v>6</v>
      </c>
      <c r="D41" s="149"/>
      <c r="E41" s="89">
        <v>6</v>
      </c>
      <c r="F41" s="149"/>
      <c r="G41" s="89">
        <v>6</v>
      </c>
      <c r="H41" s="149"/>
      <c r="I41" s="89">
        <v>6</v>
      </c>
      <c r="J41" s="149"/>
      <c r="K41" s="89">
        <v>6</v>
      </c>
      <c r="L41" s="149"/>
      <c r="M41" s="52"/>
      <c r="N41" s="52"/>
      <c r="O41" s="52"/>
      <c r="P41" s="52"/>
    </row>
    <row r="42" spans="1:16" ht="15" customHeight="1">
      <c r="A42" s="56" t="s">
        <v>80</v>
      </c>
      <c r="B42" s="147"/>
      <c r="C42" s="90">
        <v>4.4939999999999998</v>
      </c>
      <c r="D42" s="147"/>
      <c r="E42" s="90">
        <v>13.83</v>
      </c>
      <c r="F42" s="147"/>
      <c r="G42" s="90">
        <v>140.58799999999999</v>
      </c>
      <c r="H42" s="147"/>
      <c r="I42" s="90">
        <v>1385.9059999999999</v>
      </c>
      <c r="J42" s="147"/>
      <c r="K42" s="90">
        <v>3357.5709999999999</v>
      </c>
      <c r="L42" s="147"/>
      <c r="M42" s="52"/>
      <c r="N42" s="52"/>
      <c r="O42" s="52"/>
      <c r="P42" s="52"/>
    </row>
    <row r="43" spans="1:16" ht="15" customHeight="1">
      <c r="A43" s="56" t="s">
        <v>81</v>
      </c>
      <c r="B43" s="148"/>
      <c r="C43" s="90">
        <v>0.245</v>
      </c>
      <c r="D43" s="148"/>
      <c r="E43" s="90">
        <v>0.69099999999999995</v>
      </c>
      <c r="F43" s="148"/>
      <c r="G43" s="90">
        <v>7.9329999999999998</v>
      </c>
      <c r="H43" s="148"/>
      <c r="I43" s="90">
        <v>59.412999999999997</v>
      </c>
      <c r="J43" s="148"/>
      <c r="K43" s="90">
        <v>172.26400000000001</v>
      </c>
      <c r="L43" s="148"/>
      <c r="M43" s="52"/>
      <c r="N43" s="52"/>
      <c r="O43" s="52"/>
      <c r="P43" s="52"/>
    </row>
    <row r="44" spans="1:16" ht="15" customHeight="1">
      <c r="A44" s="56" t="s">
        <v>36</v>
      </c>
      <c r="B44" s="148"/>
      <c r="C44" s="91">
        <v>5.5</v>
      </c>
      <c r="D44" s="148"/>
      <c r="E44" s="91">
        <v>5</v>
      </c>
      <c r="F44" s="148"/>
      <c r="G44" s="91">
        <v>5.6</v>
      </c>
      <c r="H44" s="148"/>
      <c r="I44" s="91">
        <v>4.3</v>
      </c>
      <c r="J44" s="148"/>
      <c r="K44" s="91">
        <v>5.0999999999999996</v>
      </c>
      <c r="L44" s="148"/>
      <c r="M44" s="52"/>
      <c r="N44" s="52"/>
      <c r="O44" s="52"/>
      <c r="P44" s="52"/>
    </row>
    <row r="45" spans="1:16" ht="31.15" customHeight="1">
      <c r="A45" s="56" t="s">
        <v>37</v>
      </c>
      <c r="B45" s="148"/>
      <c r="C45" s="91">
        <v>-2.9</v>
      </c>
      <c r="D45" s="148"/>
      <c r="E45" s="91">
        <v>-0.4</v>
      </c>
      <c r="F45" s="148"/>
      <c r="G45" s="91">
        <v>1.2</v>
      </c>
      <c r="H45" s="148"/>
      <c r="I45" s="91">
        <v>-0.2</v>
      </c>
      <c r="J45" s="148"/>
      <c r="K45" s="91">
        <v>-3.3</v>
      </c>
      <c r="L45" s="148"/>
      <c r="M45" s="52"/>
      <c r="N45" s="52"/>
      <c r="O45" s="52"/>
      <c r="P45" s="52"/>
    </row>
    <row r="46" spans="1:16" ht="15" customHeight="1">
      <c r="A46" s="56" t="s">
        <v>5</v>
      </c>
      <c r="B46" s="149"/>
      <c r="C46" s="89">
        <v>18</v>
      </c>
      <c r="D46" s="149"/>
      <c r="E46" s="89">
        <v>18</v>
      </c>
      <c r="F46" s="149"/>
      <c r="G46" s="89">
        <v>18</v>
      </c>
      <c r="H46" s="149"/>
      <c r="I46" s="89">
        <v>18</v>
      </c>
      <c r="J46" s="149"/>
      <c r="K46" s="89">
        <v>18</v>
      </c>
      <c r="L46" s="149"/>
      <c r="M46" s="52"/>
      <c r="N46" s="52"/>
      <c r="O46" s="52"/>
      <c r="P46" s="52"/>
    </row>
    <row r="47" spans="1:16" ht="13.5" customHeight="1">
      <c r="A47" s="150"/>
      <c r="B47" s="151"/>
      <c r="C47" s="151"/>
      <c r="D47" s="151"/>
      <c r="E47" s="151"/>
      <c r="F47" s="151"/>
      <c r="G47" s="151"/>
      <c r="H47" s="52"/>
      <c r="I47" s="52"/>
      <c r="J47" s="52"/>
      <c r="K47" s="52"/>
      <c r="L47" s="52"/>
      <c r="M47" s="52"/>
      <c r="N47" s="52"/>
      <c r="O47" s="52"/>
      <c r="P47" s="52"/>
    </row>
    <row r="49" spans="1:16">
      <c r="A49" s="160" t="s">
        <v>128</v>
      </c>
      <c r="B49" s="160"/>
      <c r="C49" s="160"/>
      <c r="D49" s="160"/>
      <c r="E49" s="160"/>
    </row>
    <row r="50" spans="1:16" ht="14.1" customHeight="1">
      <c r="A50" s="156" t="s">
        <v>9</v>
      </c>
      <c r="B50" s="156" t="s">
        <v>8</v>
      </c>
      <c r="C50" s="55" t="s">
        <v>0</v>
      </c>
      <c r="D50" s="156" t="s">
        <v>42</v>
      </c>
      <c r="E50" s="56" t="s">
        <v>3</v>
      </c>
      <c r="F50" s="156" t="s">
        <v>42</v>
      </c>
      <c r="G50" s="56" t="s">
        <v>56</v>
      </c>
      <c r="H50" s="156" t="s">
        <v>42</v>
      </c>
      <c r="I50" s="56" t="s">
        <v>57</v>
      </c>
      <c r="J50" s="156" t="s">
        <v>42</v>
      </c>
      <c r="K50" s="56" t="s">
        <v>1</v>
      </c>
      <c r="L50" s="156" t="s">
        <v>42</v>
      </c>
      <c r="M50" s="52"/>
      <c r="N50" s="52"/>
      <c r="O50" s="52"/>
      <c r="P50" s="52"/>
    </row>
    <row r="51" spans="1:16" ht="14.1" customHeight="1">
      <c r="A51" s="156"/>
      <c r="B51" s="156"/>
      <c r="C51" s="57">
        <v>5.37</v>
      </c>
      <c r="D51" s="156"/>
      <c r="E51" s="57">
        <v>16.111000000000001</v>
      </c>
      <c r="F51" s="156"/>
      <c r="G51" s="57">
        <v>161.10499999999999</v>
      </c>
      <c r="H51" s="156"/>
      <c r="I51" s="57">
        <v>1611.05</v>
      </c>
      <c r="J51" s="156"/>
      <c r="K51" s="57">
        <v>4027.6260000000002</v>
      </c>
      <c r="L51" s="156"/>
      <c r="M51" s="52"/>
      <c r="N51" s="52"/>
      <c r="O51" s="52"/>
      <c r="P51" s="52"/>
    </row>
    <row r="52" spans="1:16" ht="14.1" customHeight="1">
      <c r="A52" s="156"/>
      <c r="B52" s="156"/>
      <c r="C52" s="58" t="s">
        <v>158</v>
      </c>
      <c r="D52" s="156"/>
      <c r="E52" s="58" t="s">
        <v>158</v>
      </c>
      <c r="F52" s="156"/>
      <c r="G52" s="58" t="s">
        <v>158</v>
      </c>
      <c r="H52" s="156"/>
      <c r="I52" s="58" t="s">
        <v>158</v>
      </c>
      <c r="J52" s="156"/>
      <c r="K52" s="58" t="s">
        <v>158</v>
      </c>
      <c r="L52" s="156"/>
      <c r="M52" s="52"/>
      <c r="N52" s="52"/>
      <c r="O52" s="52"/>
      <c r="P52" s="52"/>
    </row>
    <row r="53" spans="1:16">
      <c r="A53" s="155">
        <v>45903</v>
      </c>
      <c r="B53" s="157">
        <v>2</v>
      </c>
      <c r="C53" s="90">
        <v>4.5119999999999996</v>
      </c>
      <c r="D53" s="91">
        <v>-16</v>
      </c>
      <c r="E53" s="90">
        <v>15.209</v>
      </c>
      <c r="F53" s="91">
        <v>-5.6</v>
      </c>
      <c r="G53" s="90">
        <v>150.03399999999999</v>
      </c>
      <c r="H53" s="91">
        <v>-6.9</v>
      </c>
      <c r="I53" s="90">
        <v>1466.86</v>
      </c>
      <c r="J53" s="91">
        <v>-9</v>
      </c>
      <c r="K53" s="90">
        <v>3671.05</v>
      </c>
      <c r="L53" s="91">
        <v>-8.9</v>
      </c>
      <c r="M53" s="52"/>
      <c r="N53" s="52"/>
      <c r="O53" s="52"/>
      <c r="P53" s="52"/>
    </row>
    <row r="54" spans="1:16">
      <c r="A54" s="155"/>
      <c r="B54" s="158"/>
      <c r="C54" s="90">
        <v>5.1159999999999997</v>
      </c>
      <c r="D54" s="91">
        <v>-4.7</v>
      </c>
      <c r="E54" s="90">
        <v>15.869</v>
      </c>
      <c r="F54" s="91">
        <v>-1.5</v>
      </c>
      <c r="G54" s="90">
        <v>154.06800000000001</v>
      </c>
      <c r="H54" s="91">
        <v>-4.4000000000000004</v>
      </c>
      <c r="I54" s="90">
        <v>1489.723</v>
      </c>
      <c r="J54" s="91">
        <v>-7.5</v>
      </c>
      <c r="K54" s="90">
        <v>3613.2710000000002</v>
      </c>
      <c r="L54" s="91">
        <v>-10.3</v>
      </c>
      <c r="M54" s="52"/>
      <c r="N54" s="52"/>
      <c r="O54" s="52"/>
      <c r="P54" s="52"/>
    </row>
    <row r="55" spans="1:16">
      <c r="A55" s="155"/>
      <c r="B55" s="158"/>
      <c r="C55" s="90">
        <v>5.1890000000000001</v>
      </c>
      <c r="D55" s="91">
        <v>-3.4</v>
      </c>
      <c r="E55" s="90">
        <v>15.801</v>
      </c>
      <c r="F55" s="91">
        <v>-1.9</v>
      </c>
      <c r="G55" s="90">
        <v>163.44999999999999</v>
      </c>
      <c r="H55" s="91">
        <v>1.5</v>
      </c>
      <c r="I55" s="90">
        <v>1516.652</v>
      </c>
      <c r="J55" s="91">
        <v>-5.9</v>
      </c>
      <c r="K55" s="90">
        <v>3438.3850000000002</v>
      </c>
      <c r="L55" s="91">
        <v>-14.6</v>
      </c>
      <c r="M55" s="52"/>
      <c r="N55" s="52"/>
      <c r="O55" s="52"/>
      <c r="P55" s="52"/>
    </row>
    <row r="56" spans="1:16">
      <c r="A56" s="155"/>
      <c r="B56" s="158"/>
      <c r="C56" s="90">
        <v>5.8129999999999997</v>
      </c>
      <c r="D56" s="91">
        <v>8.1999999999999993</v>
      </c>
      <c r="E56" s="90">
        <v>16.641999999999999</v>
      </c>
      <c r="F56" s="91">
        <v>3.3</v>
      </c>
      <c r="G56" s="90">
        <v>164.16300000000001</v>
      </c>
      <c r="H56" s="91">
        <v>1.9</v>
      </c>
      <c r="I56" s="90">
        <v>1590.94</v>
      </c>
      <c r="J56" s="91">
        <v>-1.2</v>
      </c>
      <c r="K56" s="90">
        <v>3797.0250000000001</v>
      </c>
      <c r="L56" s="91">
        <v>-5.7</v>
      </c>
      <c r="M56" s="52"/>
      <c r="N56" s="52"/>
      <c r="O56" s="52"/>
      <c r="P56" s="52"/>
    </row>
    <row r="57" spans="1:16">
      <c r="A57" s="155"/>
      <c r="B57" s="158"/>
      <c r="C57" s="90">
        <v>5.2560000000000002</v>
      </c>
      <c r="D57" s="91">
        <v>-2.1</v>
      </c>
      <c r="E57" s="90">
        <v>15.776999999999999</v>
      </c>
      <c r="F57" s="91">
        <v>-2.1</v>
      </c>
      <c r="G57" s="90">
        <v>164.233</v>
      </c>
      <c r="H57" s="91">
        <v>1.9</v>
      </c>
      <c r="I57" s="90">
        <v>1527.03</v>
      </c>
      <c r="J57" s="91">
        <v>-5.2</v>
      </c>
      <c r="K57" s="90">
        <v>3863.982</v>
      </c>
      <c r="L57" s="91">
        <v>-4.0999999999999996</v>
      </c>
      <c r="M57" s="52"/>
      <c r="N57" s="52"/>
      <c r="O57" s="52"/>
      <c r="P57" s="52"/>
    </row>
    <row r="58" spans="1:16">
      <c r="A58" s="155"/>
      <c r="B58" s="159"/>
      <c r="C58" s="90">
        <v>4.9829999999999997</v>
      </c>
      <c r="D58" s="91">
        <v>-7.2</v>
      </c>
      <c r="E58" s="90">
        <v>17.420999999999999</v>
      </c>
      <c r="F58" s="91">
        <v>8.1</v>
      </c>
      <c r="G58" s="90">
        <v>160.15799999999999</v>
      </c>
      <c r="H58" s="91">
        <v>-0.6</v>
      </c>
      <c r="I58" s="90">
        <v>1581.1110000000001</v>
      </c>
      <c r="J58" s="91">
        <v>-1.9</v>
      </c>
      <c r="K58" s="90">
        <v>4081.0949999999998</v>
      </c>
      <c r="L58" s="91">
        <v>1.3</v>
      </c>
      <c r="M58" s="52"/>
      <c r="N58" s="52"/>
      <c r="O58" s="52"/>
      <c r="P58" s="52"/>
    </row>
    <row r="59" spans="1:16" ht="13.5" customHeight="1">
      <c r="A59" s="56" t="s">
        <v>78</v>
      </c>
      <c r="B59" s="147"/>
      <c r="C59" s="90">
        <v>5.1449999999999996</v>
      </c>
      <c r="D59" s="147"/>
      <c r="E59" s="90">
        <v>16.12</v>
      </c>
      <c r="F59" s="147"/>
      <c r="G59" s="90">
        <v>159.351</v>
      </c>
      <c r="H59" s="147"/>
      <c r="I59" s="90">
        <v>1528.7190000000001</v>
      </c>
      <c r="J59" s="147"/>
      <c r="K59" s="90">
        <v>3744.1350000000002</v>
      </c>
      <c r="L59" s="147"/>
      <c r="M59" s="52"/>
      <c r="N59" s="52"/>
      <c r="O59" s="52"/>
      <c r="P59" s="52"/>
    </row>
    <row r="60" spans="1:16" ht="13.5" customHeight="1">
      <c r="A60" s="56" t="s">
        <v>79</v>
      </c>
      <c r="B60" s="148"/>
      <c r="C60" s="90">
        <v>0.42099999999999999</v>
      </c>
      <c r="D60" s="148"/>
      <c r="E60" s="90">
        <v>0.78500000000000003</v>
      </c>
      <c r="F60" s="148"/>
      <c r="G60" s="90">
        <v>5.9859999999999998</v>
      </c>
      <c r="H60" s="148"/>
      <c r="I60" s="90">
        <v>49.218000000000004</v>
      </c>
      <c r="J60" s="148"/>
      <c r="K60" s="90">
        <v>222.10499999999999</v>
      </c>
      <c r="L60" s="148"/>
      <c r="M60" s="52"/>
      <c r="N60" s="52"/>
      <c r="O60" s="52"/>
      <c r="P60" s="52"/>
    </row>
    <row r="61" spans="1:16" ht="13.5" customHeight="1">
      <c r="A61" s="56" t="s">
        <v>34</v>
      </c>
      <c r="B61" s="148"/>
      <c r="C61" s="91">
        <v>8.1999999999999993</v>
      </c>
      <c r="D61" s="148"/>
      <c r="E61" s="91">
        <v>4.9000000000000004</v>
      </c>
      <c r="F61" s="148"/>
      <c r="G61" s="91">
        <v>3.8</v>
      </c>
      <c r="H61" s="148"/>
      <c r="I61" s="91">
        <v>3.2</v>
      </c>
      <c r="J61" s="148"/>
      <c r="K61" s="91">
        <v>5.9</v>
      </c>
      <c r="L61" s="148"/>
      <c r="M61" s="52"/>
      <c r="N61" s="52"/>
      <c r="O61" s="52"/>
      <c r="P61" s="52"/>
    </row>
    <row r="62" spans="1:16" ht="13.5" customHeight="1">
      <c r="A62" s="56" t="s">
        <v>35</v>
      </c>
      <c r="B62" s="148"/>
      <c r="C62" s="91">
        <v>-4.2</v>
      </c>
      <c r="D62" s="148"/>
      <c r="E62" s="91">
        <v>0.1</v>
      </c>
      <c r="F62" s="148"/>
      <c r="G62" s="91">
        <v>-1.1000000000000001</v>
      </c>
      <c r="H62" s="148"/>
      <c r="I62" s="91">
        <v>-5.0999999999999996</v>
      </c>
      <c r="J62" s="148"/>
      <c r="K62" s="91">
        <v>-7</v>
      </c>
      <c r="L62" s="148"/>
      <c r="M62" s="52"/>
      <c r="N62" s="52"/>
      <c r="O62" s="52"/>
      <c r="P62" s="52"/>
    </row>
    <row r="63" spans="1:16" ht="13.5" customHeight="1">
      <c r="A63" s="56" t="s">
        <v>5</v>
      </c>
      <c r="B63" s="149"/>
      <c r="C63" s="89">
        <v>6</v>
      </c>
      <c r="D63" s="149"/>
      <c r="E63" s="89">
        <v>6</v>
      </c>
      <c r="F63" s="149"/>
      <c r="G63" s="89">
        <v>6</v>
      </c>
      <c r="H63" s="149"/>
      <c r="I63" s="89">
        <v>6</v>
      </c>
      <c r="J63" s="149"/>
      <c r="K63" s="89">
        <v>6</v>
      </c>
      <c r="L63" s="149"/>
      <c r="M63" s="52"/>
      <c r="N63" s="52"/>
      <c r="O63" s="52"/>
      <c r="P63" s="52"/>
    </row>
    <row r="64" spans="1:16">
      <c r="A64" s="155">
        <v>45905</v>
      </c>
      <c r="B64" s="152">
        <v>4</v>
      </c>
      <c r="C64" s="90">
        <v>4.3330000000000002</v>
      </c>
      <c r="D64" s="91">
        <v>-19.3</v>
      </c>
      <c r="E64" s="90">
        <v>14.4</v>
      </c>
      <c r="F64" s="91">
        <v>-10.6</v>
      </c>
      <c r="G64" s="90">
        <v>147.09899999999999</v>
      </c>
      <c r="H64" s="91">
        <v>-8.6999999999999993</v>
      </c>
      <c r="I64" s="90">
        <v>1448.135</v>
      </c>
      <c r="J64" s="91">
        <v>-10.1</v>
      </c>
      <c r="K64" s="90">
        <v>3540.136</v>
      </c>
      <c r="L64" s="91">
        <v>-12.1</v>
      </c>
      <c r="M64" s="52"/>
      <c r="N64" s="21" t="s">
        <v>82</v>
      </c>
    </row>
    <row r="65" spans="1:16">
      <c r="A65" s="155"/>
      <c r="B65" s="153"/>
      <c r="C65" s="90" t="s">
        <v>159</v>
      </c>
      <c r="D65" s="91">
        <v>-28.7</v>
      </c>
      <c r="E65" s="90">
        <v>13.882</v>
      </c>
      <c r="F65" s="91">
        <v>-13.8</v>
      </c>
      <c r="G65" s="90">
        <v>140.363</v>
      </c>
      <c r="H65" s="91">
        <v>-12.9</v>
      </c>
      <c r="I65" s="90">
        <v>1404.48</v>
      </c>
      <c r="J65" s="91">
        <v>-12.8</v>
      </c>
      <c r="K65" s="90">
        <v>3693.6790000000001</v>
      </c>
      <c r="L65" s="91">
        <v>-8.3000000000000007</v>
      </c>
      <c r="M65" s="52"/>
      <c r="N65" s="21" t="s">
        <v>105</v>
      </c>
      <c r="O65" s="21" t="s">
        <v>51</v>
      </c>
      <c r="P65" s="21" t="s">
        <v>52</v>
      </c>
    </row>
    <row r="66" spans="1:16">
      <c r="A66" s="155"/>
      <c r="B66" s="153"/>
      <c r="C66" s="90" t="s">
        <v>160</v>
      </c>
      <c r="D66" s="91">
        <v>-28.1</v>
      </c>
      <c r="E66" s="90" t="s">
        <v>178</v>
      </c>
      <c r="F66" s="91">
        <v>-17.2</v>
      </c>
      <c r="G66" s="90">
        <v>145.84800000000001</v>
      </c>
      <c r="H66" s="91">
        <v>-9.5</v>
      </c>
      <c r="I66" s="90">
        <v>1425.144</v>
      </c>
      <c r="J66" s="91">
        <v>-11.5</v>
      </c>
      <c r="K66" s="90">
        <v>3656.9670000000001</v>
      </c>
      <c r="L66" s="91">
        <v>-9.1999999999999993</v>
      </c>
      <c r="M66" s="52"/>
      <c r="N66" s="21" t="s">
        <v>53</v>
      </c>
      <c r="O66" s="59">
        <f>MAX(E62,G62,I62,K62,E73,G73,I73,K73,E84,G84,I84,K84)</f>
        <v>0.4</v>
      </c>
      <c r="P66" s="59">
        <f>MIN(E62,G62,I62,K62,E73,G73,I73,K73,E84,G84,I84,K84)</f>
        <v>-7</v>
      </c>
    </row>
    <row r="67" spans="1:16">
      <c r="A67" s="155"/>
      <c r="B67" s="153"/>
      <c r="C67" s="90">
        <v>6.08</v>
      </c>
      <c r="D67" s="91">
        <v>13.2</v>
      </c>
      <c r="E67" s="90">
        <v>17.149999999999999</v>
      </c>
      <c r="F67" s="91">
        <v>6.4</v>
      </c>
      <c r="G67" s="90">
        <v>175.31700000000001</v>
      </c>
      <c r="H67" s="91">
        <v>8.8000000000000007</v>
      </c>
      <c r="I67" s="90">
        <v>1645.335</v>
      </c>
      <c r="J67" s="91">
        <v>2.1</v>
      </c>
      <c r="K67" s="90">
        <v>4229.4049999999997</v>
      </c>
      <c r="L67" s="91">
        <v>5</v>
      </c>
      <c r="M67" s="52"/>
      <c r="N67" s="21" t="s">
        <v>54</v>
      </c>
      <c r="O67" s="59">
        <f>MAX(E61,G61,I61,K61,E72,G72,I72,K72,E83,G83,I83,K83)</f>
        <v>12.2</v>
      </c>
      <c r="P67" s="59">
        <f>MIN(E61,G61,I61,K61,E72,G72,I72,K72,E83,G83,I83,K83)</f>
        <v>1.4</v>
      </c>
    </row>
    <row r="68" spans="1:16">
      <c r="A68" s="155"/>
      <c r="B68" s="153"/>
      <c r="C68" s="90">
        <v>5.6029999999999998</v>
      </c>
      <c r="D68" s="91">
        <v>4.3</v>
      </c>
      <c r="E68" s="90">
        <v>16.41</v>
      </c>
      <c r="F68" s="91">
        <v>1.9</v>
      </c>
      <c r="G68" s="90">
        <v>174.614</v>
      </c>
      <c r="H68" s="91">
        <v>8.4</v>
      </c>
      <c r="I68" s="90">
        <v>1658.5219999999999</v>
      </c>
      <c r="J68" s="91">
        <v>2.9</v>
      </c>
      <c r="K68" s="90">
        <v>4226.9449999999997</v>
      </c>
      <c r="L68" s="91">
        <v>4.9000000000000004</v>
      </c>
      <c r="M68" s="52"/>
    </row>
    <row r="69" spans="1:16">
      <c r="A69" s="155"/>
      <c r="B69" s="154"/>
      <c r="C69" s="90">
        <v>5.36</v>
      </c>
      <c r="D69" s="91">
        <v>-0.2</v>
      </c>
      <c r="E69" s="90">
        <v>15.795999999999999</v>
      </c>
      <c r="F69" s="91">
        <v>-2</v>
      </c>
      <c r="G69" s="90" t="s">
        <v>179</v>
      </c>
      <c r="H69" s="91">
        <v>16.399999999999999</v>
      </c>
      <c r="I69" s="90">
        <v>1722.395</v>
      </c>
      <c r="J69" s="91">
        <v>6.9</v>
      </c>
      <c r="K69" s="90">
        <v>4184.7250000000004</v>
      </c>
      <c r="L69" s="91">
        <v>3.9</v>
      </c>
      <c r="M69" s="52"/>
      <c r="N69" s="21" t="s">
        <v>107</v>
      </c>
      <c r="O69" s="21" t="s">
        <v>51</v>
      </c>
      <c r="P69" s="21" t="s">
        <v>52</v>
      </c>
    </row>
    <row r="70" spans="1:16" ht="13.5" customHeight="1">
      <c r="A70" s="56" t="s">
        <v>78</v>
      </c>
      <c r="B70" s="147"/>
      <c r="C70" s="90">
        <v>4.8449999999999998</v>
      </c>
      <c r="D70" s="147"/>
      <c r="E70" s="90">
        <v>15.164</v>
      </c>
      <c r="F70" s="147"/>
      <c r="G70" s="90">
        <v>161.78899999999999</v>
      </c>
      <c r="H70" s="147"/>
      <c r="I70" s="90">
        <v>1550.6690000000001</v>
      </c>
      <c r="J70" s="147"/>
      <c r="K70" s="90">
        <v>3921.9760000000001</v>
      </c>
      <c r="L70" s="147"/>
      <c r="M70" s="52"/>
      <c r="N70" s="21" t="s">
        <v>53</v>
      </c>
      <c r="O70" s="59">
        <f>MAX(E89,G89,I89,K89)</f>
        <v>-0.9</v>
      </c>
      <c r="P70" s="59">
        <f>MIN(E89,G89,I89,K89)</f>
        <v>-5.3</v>
      </c>
    </row>
    <row r="71" spans="1:16" ht="13.5" customHeight="1">
      <c r="A71" s="56" t="s">
        <v>79</v>
      </c>
      <c r="B71" s="148"/>
      <c r="C71" s="90">
        <v>0.96199999999999997</v>
      </c>
      <c r="D71" s="148"/>
      <c r="E71" s="90">
        <v>1.512</v>
      </c>
      <c r="F71" s="148"/>
      <c r="G71" s="90">
        <v>19.683</v>
      </c>
      <c r="H71" s="148"/>
      <c r="I71" s="90">
        <v>139.803</v>
      </c>
      <c r="J71" s="148"/>
      <c r="K71" s="90">
        <v>323.947</v>
      </c>
      <c r="L71" s="148"/>
      <c r="M71" s="52"/>
      <c r="N71" s="21" t="s">
        <v>54</v>
      </c>
      <c r="O71" s="59">
        <f>MAX(E88,G88,I88,K88)</f>
        <v>7.7</v>
      </c>
      <c r="P71" s="59">
        <f>MIN(E88,G88,I88,K88)</f>
        <v>5.3</v>
      </c>
    </row>
    <row r="72" spans="1:16" ht="13.5" customHeight="1">
      <c r="A72" s="56" t="s">
        <v>34</v>
      </c>
      <c r="B72" s="148"/>
      <c r="C72" s="91">
        <v>19.899999999999999</v>
      </c>
      <c r="D72" s="148"/>
      <c r="E72" s="91">
        <v>10</v>
      </c>
      <c r="F72" s="148"/>
      <c r="G72" s="91">
        <v>12.2</v>
      </c>
      <c r="H72" s="148"/>
      <c r="I72" s="91">
        <v>9</v>
      </c>
      <c r="J72" s="148"/>
      <c r="K72" s="91">
        <v>8.3000000000000007</v>
      </c>
      <c r="L72" s="148"/>
      <c r="M72" s="52"/>
    </row>
    <row r="73" spans="1:16" ht="13.5" customHeight="1">
      <c r="A73" s="56" t="s">
        <v>35</v>
      </c>
      <c r="B73" s="148"/>
      <c r="C73" s="91">
        <v>-9.8000000000000007</v>
      </c>
      <c r="D73" s="148"/>
      <c r="E73" s="91">
        <v>-5.9</v>
      </c>
      <c r="F73" s="148"/>
      <c r="G73" s="91">
        <v>0.4</v>
      </c>
      <c r="H73" s="148"/>
      <c r="I73" s="91">
        <v>-3.7</v>
      </c>
      <c r="J73" s="148"/>
      <c r="K73" s="91">
        <v>-2.6</v>
      </c>
      <c r="L73" s="148"/>
      <c r="M73" s="52"/>
      <c r="N73" s="21" t="s">
        <v>55</v>
      </c>
    </row>
    <row r="74" spans="1:16" ht="13.5" customHeight="1">
      <c r="A74" s="56" t="s">
        <v>5</v>
      </c>
      <c r="B74" s="149"/>
      <c r="C74" s="89">
        <v>6</v>
      </c>
      <c r="D74" s="149"/>
      <c r="E74" s="89">
        <v>6</v>
      </c>
      <c r="F74" s="149"/>
      <c r="G74" s="89">
        <v>6</v>
      </c>
      <c r="H74" s="149"/>
      <c r="I74" s="89">
        <v>6</v>
      </c>
      <c r="J74" s="149"/>
      <c r="K74" s="89">
        <v>6</v>
      </c>
      <c r="L74" s="149"/>
      <c r="M74" s="52"/>
      <c r="N74" s="21" t="s">
        <v>105</v>
      </c>
      <c r="O74" s="21" t="s">
        <v>51</v>
      </c>
      <c r="P74" s="21" t="s">
        <v>52</v>
      </c>
    </row>
    <row r="75" spans="1:16">
      <c r="A75" s="155">
        <v>45909</v>
      </c>
      <c r="B75" s="152">
        <v>7</v>
      </c>
      <c r="C75" s="90">
        <v>5.1550000000000002</v>
      </c>
      <c r="D75" s="91">
        <v>-4</v>
      </c>
      <c r="E75" s="90">
        <v>15.1</v>
      </c>
      <c r="F75" s="91">
        <v>-6.3</v>
      </c>
      <c r="G75" s="90">
        <v>158.09399999999999</v>
      </c>
      <c r="H75" s="91">
        <v>-1.9</v>
      </c>
      <c r="I75" s="90">
        <v>1560.337</v>
      </c>
      <c r="J75" s="91">
        <v>-3.1</v>
      </c>
      <c r="K75" s="90">
        <v>3834.373</v>
      </c>
      <c r="L75" s="91">
        <v>-4.8</v>
      </c>
      <c r="M75" s="52"/>
      <c r="N75" s="21" t="s">
        <v>53</v>
      </c>
      <c r="O75" s="59">
        <f>MAX(C62,C73,C84)</f>
        <v>-4.2</v>
      </c>
      <c r="P75" s="59">
        <f>MIN(C62,C73,C84)</f>
        <v>-9.8000000000000007</v>
      </c>
    </row>
    <row r="76" spans="1:16">
      <c r="A76" s="155"/>
      <c r="B76" s="153"/>
      <c r="C76" s="90">
        <v>5.13</v>
      </c>
      <c r="D76" s="91">
        <v>-4.5</v>
      </c>
      <c r="E76" s="90">
        <v>17.417999999999999</v>
      </c>
      <c r="F76" s="91">
        <v>8.1</v>
      </c>
      <c r="G76" s="90">
        <v>151.614</v>
      </c>
      <c r="H76" s="91">
        <v>-5.9</v>
      </c>
      <c r="I76" s="90">
        <v>1554.6</v>
      </c>
      <c r="J76" s="91">
        <v>-3.5</v>
      </c>
      <c r="K76" s="90">
        <v>3624.6950000000002</v>
      </c>
      <c r="L76" s="91">
        <v>-10</v>
      </c>
      <c r="M76" s="52"/>
      <c r="N76" s="21" t="s">
        <v>54</v>
      </c>
      <c r="O76" s="59">
        <f>MAX(C61,C72,C83)</f>
        <v>19.899999999999999</v>
      </c>
      <c r="P76" s="59">
        <f>MIN(C61,C72,C83)</f>
        <v>3.8</v>
      </c>
    </row>
    <row r="77" spans="1:16">
      <c r="A77" s="155"/>
      <c r="B77" s="153"/>
      <c r="C77" s="90">
        <v>4.8449999999999998</v>
      </c>
      <c r="D77" s="91">
        <v>-9.8000000000000007</v>
      </c>
      <c r="E77" s="90">
        <v>15.967000000000001</v>
      </c>
      <c r="F77" s="91">
        <v>-0.9</v>
      </c>
      <c r="G77" s="90">
        <v>167.595</v>
      </c>
      <c r="H77" s="91">
        <v>4</v>
      </c>
      <c r="I77" s="90">
        <v>1519.4</v>
      </c>
      <c r="J77" s="91">
        <v>-5.7</v>
      </c>
      <c r="K77" s="90">
        <v>3993.7820000000002</v>
      </c>
      <c r="L77" s="91">
        <v>-0.8</v>
      </c>
      <c r="M77" s="52"/>
    </row>
    <row r="78" spans="1:16">
      <c r="A78" s="155"/>
      <c r="B78" s="153"/>
      <c r="C78" s="90">
        <v>4.7270000000000003</v>
      </c>
      <c r="D78" s="91">
        <v>-12</v>
      </c>
      <c r="E78" s="90">
        <v>14.887</v>
      </c>
      <c r="F78" s="91">
        <v>-7.6</v>
      </c>
      <c r="G78" s="90">
        <v>160.66300000000001</v>
      </c>
      <c r="H78" s="91">
        <v>-0.3</v>
      </c>
      <c r="I78" s="90">
        <v>1540.175</v>
      </c>
      <c r="J78" s="91">
        <v>-4.4000000000000004</v>
      </c>
      <c r="K78" s="90">
        <v>3690.7460000000001</v>
      </c>
      <c r="L78" s="91">
        <v>-8.4</v>
      </c>
      <c r="M78" s="52"/>
      <c r="N78" s="21" t="s">
        <v>107</v>
      </c>
      <c r="O78" s="21" t="s">
        <v>51</v>
      </c>
      <c r="P78" s="21" t="s">
        <v>52</v>
      </c>
    </row>
    <row r="79" spans="1:16">
      <c r="A79" s="155"/>
      <c r="B79" s="153"/>
      <c r="C79" s="90">
        <v>5.19</v>
      </c>
      <c r="D79" s="91">
        <v>-3.4</v>
      </c>
      <c r="E79" s="90">
        <v>14.255000000000001</v>
      </c>
      <c r="F79" s="91">
        <v>-11.5</v>
      </c>
      <c r="G79" s="90">
        <v>157.23699999999999</v>
      </c>
      <c r="H79" s="91">
        <v>-2.4</v>
      </c>
      <c r="I79" s="90">
        <v>1563.825</v>
      </c>
      <c r="J79" s="91">
        <v>-2.9</v>
      </c>
      <c r="K79" s="90">
        <v>3774.9090000000001</v>
      </c>
      <c r="L79" s="91">
        <v>-6.3</v>
      </c>
      <c r="M79" s="52"/>
      <c r="N79" s="21" t="s">
        <v>53</v>
      </c>
      <c r="O79" s="59">
        <f>MAX(C89)</f>
        <v>-7</v>
      </c>
      <c r="P79" s="59">
        <f>MIN(C89)</f>
        <v>-7</v>
      </c>
    </row>
    <row r="80" spans="1:16">
      <c r="A80" s="155"/>
      <c r="B80" s="154"/>
      <c r="C80" s="90">
        <v>4.9340000000000002</v>
      </c>
      <c r="D80" s="91">
        <v>-8.1</v>
      </c>
      <c r="E80" s="90">
        <v>16.853999999999999</v>
      </c>
      <c r="F80" s="91">
        <v>4.5999999999999996</v>
      </c>
      <c r="G80" s="90">
        <v>151.88200000000001</v>
      </c>
      <c r="H80" s="91">
        <v>-5.7</v>
      </c>
      <c r="I80" s="90">
        <v>1512.9469999999999</v>
      </c>
      <c r="J80" s="91">
        <v>-6.1</v>
      </c>
      <c r="K80" s="90">
        <v>3741.9169999999999</v>
      </c>
      <c r="L80" s="91">
        <v>-7.1</v>
      </c>
      <c r="M80" s="52"/>
      <c r="N80" s="21" t="s">
        <v>54</v>
      </c>
      <c r="O80" s="59">
        <f>MAX(C88)</f>
        <v>11.9</v>
      </c>
      <c r="P80" s="59">
        <f>MIN(C88)</f>
        <v>11.9</v>
      </c>
    </row>
    <row r="81" spans="1:16" ht="14.1" customHeight="1">
      <c r="A81" s="56" t="s">
        <v>78</v>
      </c>
      <c r="B81" s="147"/>
      <c r="C81" s="90">
        <v>4.9969999999999999</v>
      </c>
      <c r="D81" s="147"/>
      <c r="E81" s="90">
        <v>15.747</v>
      </c>
      <c r="F81" s="147"/>
      <c r="G81" s="90">
        <v>157.84800000000001</v>
      </c>
      <c r="H81" s="147"/>
      <c r="I81" s="90">
        <v>1541.8810000000001</v>
      </c>
      <c r="J81" s="147"/>
      <c r="K81" s="90">
        <v>3776.7370000000001</v>
      </c>
      <c r="L81" s="147"/>
      <c r="M81" s="52"/>
      <c r="N81" s="52"/>
      <c r="O81" s="52"/>
      <c r="P81" s="52"/>
    </row>
    <row r="82" spans="1:16" ht="14.1" customHeight="1">
      <c r="A82" s="56" t="s">
        <v>79</v>
      </c>
      <c r="B82" s="148"/>
      <c r="C82" s="90">
        <v>0.19</v>
      </c>
      <c r="D82" s="148"/>
      <c r="E82" s="90">
        <v>1.2210000000000001</v>
      </c>
      <c r="F82" s="148"/>
      <c r="G82" s="90">
        <v>5.9640000000000004</v>
      </c>
      <c r="H82" s="148"/>
      <c r="I82" s="90">
        <v>21.584</v>
      </c>
      <c r="J82" s="148"/>
      <c r="K82" s="90">
        <v>128.185</v>
      </c>
      <c r="L82" s="148"/>
      <c r="M82" s="52"/>
      <c r="N82" s="52"/>
      <c r="O82" s="52"/>
      <c r="P82" s="52"/>
    </row>
    <row r="83" spans="1:16" ht="14.1" customHeight="1">
      <c r="A83" s="56" t="s">
        <v>34</v>
      </c>
      <c r="B83" s="148"/>
      <c r="C83" s="91">
        <v>3.8</v>
      </c>
      <c r="D83" s="148"/>
      <c r="E83" s="91">
        <v>7.8</v>
      </c>
      <c r="F83" s="148"/>
      <c r="G83" s="91">
        <v>3.8</v>
      </c>
      <c r="H83" s="148"/>
      <c r="I83" s="91">
        <v>1.4</v>
      </c>
      <c r="J83" s="148"/>
      <c r="K83" s="91">
        <v>3.4</v>
      </c>
      <c r="L83" s="148"/>
      <c r="M83" s="52"/>
      <c r="N83" s="52"/>
      <c r="O83" s="52"/>
      <c r="P83" s="52"/>
    </row>
    <row r="84" spans="1:16" ht="14.1" customHeight="1">
      <c r="A84" s="56" t="s">
        <v>35</v>
      </c>
      <c r="B84" s="148"/>
      <c r="C84" s="91">
        <v>-6.9</v>
      </c>
      <c r="D84" s="148"/>
      <c r="E84" s="91">
        <v>-2.2999999999999998</v>
      </c>
      <c r="F84" s="148"/>
      <c r="G84" s="91">
        <v>-2</v>
      </c>
      <c r="H84" s="148"/>
      <c r="I84" s="91">
        <v>-4.3</v>
      </c>
      <c r="J84" s="148"/>
      <c r="K84" s="91">
        <v>-6.2</v>
      </c>
      <c r="L84" s="148"/>
      <c r="M84" s="52"/>
      <c r="N84" s="52"/>
      <c r="O84" s="52"/>
      <c r="P84" s="52"/>
    </row>
    <row r="85" spans="1:16" ht="14.1" customHeight="1">
      <c r="A85" s="56" t="s">
        <v>5</v>
      </c>
      <c r="B85" s="149"/>
      <c r="C85" s="89">
        <v>6</v>
      </c>
      <c r="D85" s="149"/>
      <c r="E85" s="89">
        <v>6</v>
      </c>
      <c r="F85" s="149"/>
      <c r="G85" s="89">
        <v>6</v>
      </c>
      <c r="H85" s="149"/>
      <c r="I85" s="89">
        <v>6</v>
      </c>
      <c r="J85" s="149"/>
      <c r="K85" s="89">
        <v>6</v>
      </c>
      <c r="L85" s="149"/>
      <c r="M85" s="52"/>
      <c r="N85" s="52"/>
      <c r="O85" s="52"/>
      <c r="P85" s="52"/>
    </row>
    <row r="86" spans="1:16" ht="15" customHeight="1">
      <c r="A86" s="56" t="s">
        <v>80</v>
      </c>
      <c r="B86" s="147"/>
      <c r="C86" s="90">
        <v>4.9950000000000001</v>
      </c>
      <c r="D86" s="147"/>
      <c r="E86" s="90">
        <v>15.677</v>
      </c>
      <c r="F86" s="147"/>
      <c r="G86" s="90">
        <v>159.66300000000001</v>
      </c>
      <c r="H86" s="147"/>
      <c r="I86" s="90">
        <v>1540.423</v>
      </c>
      <c r="J86" s="147"/>
      <c r="K86" s="90">
        <v>3814.2829999999999</v>
      </c>
      <c r="L86" s="147"/>
      <c r="M86" s="52"/>
      <c r="N86" s="52"/>
      <c r="O86" s="52"/>
      <c r="P86" s="52"/>
    </row>
    <row r="87" spans="1:16" ht="15" customHeight="1">
      <c r="A87" s="56" t="s">
        <v>81</v>
      </c>
      <c r="B87" s="148"/>
      <c r="C87" s="90">
        <v>0.59199999999999997</v>
      </c>
      <c r="D87" s="148"/>
      <c r="E87" s="90">
        <v>1.206</v>
      </c>
      <c r="F87" s="148"/>
      <c r="G87" s="90">
        <v>11.736000000000001</v>
      </c>
      <c r="H87" s="148"/>
      <c r="I87" s="90">
        <v>81.757000000000005</v>
      </c>
      <c r="J87" s="148"/>
      <c r="K87" s="90">
        <v>237.77</v>
      </c>
      <c r="L87" s="148"/>
      <c r="M87" s="52"/>
      <c r="N87" s="52"/>
      <c r="O87" s="52"/>
      <c r="P87" s="52"/>
    </row>
    <row r="88" spans="1:16" ht="15" customHeight="1">
      <c r="A88" s="56" t="s">
        <v>36</v>
      </c>
      <c r="B88" s="148"/>
      <c r="C88" s="91">
        <v>11.9</v>
      </c>
      <c r="D88" s="148"/>
      <c r="E88" s="91">
        <v>7.7</v>
      </c>
      <c r="F88" s="148"/>
      <c r="G88" s="91">
        <v>7.4</v>
      </c>
      <c r="H88" s="148"/>
      <c r="I88" s="91">
        <v>5.3</v>
      </c>
      <c r="J88" s="148"/>
      <c r="K88" s="91">
        <v>6.2</v>
      </c>
      <c r="L88" s="148"/>
      <c r="M88" s="52"/>
      <c r="N88" s="52"/>
      <c r="O88" s="52"/>
      <c r="P88" s="52"/>
    </row>
    <row r="89" spans="1:16" ht="31.15" customHeight="1">
      <c r="A89" s="56" t="s">
        <v>37</v>
      </c>
      <c r="B89" s="148"/>
      <c r="C89" s="91">
        <v>-7</v>
      </c>
      <c r="D89" s="148"/>
      <c r="E89" s="91">
        <v>-2.7</v>
      </c>
      <c r="F89" s="148"/>
      <c r="G89" s="91">
        <v>-0.9</v>
      </c>
      <c r="H89" s="148"/>
      <c r="I89" s="91">
        <v>-4.4000000000000004</v>
      </c>
      <c r="J89" s="148"/>
      <c r="K89" s="91">
        <v>-5.3</v>
      </c>
      <c r="L89" s="148"/>
      <c r="M89" s="52"/>
      <c r="N89" s="52"/>
      <c r="O89" s="52"/>
      <c r="P89" s="52"/>
    </row>
    <row r="90" spans="1:16" ht="15" customHeight="1">
      <c r="A90" s="56" t="s">
        <v>5</v>
      </c>
      <c r="B90" s="149"/>
      <c r="C90" s="89">
        <v>18</v>
      </c>
      <c r="D90" s="149"/>
      <c r="E90" s="89">
        <v>18</v>
      </c>
      <c r="F90" s="149"/>
      <c r="G90" s="89">
        <v>18</v>
      </c>
      <c r="H90" s="149"/>
      <c r="I90" s="89">
        <v>18</v>
      </c>
      <c r="J90" s="149"/>
      <c r="K90" s="89">
        <v>18</v>
      </c>
      <c r="L90" s="149"/>
      <c r="M90" s="52"/>
      <c r="N90" s="52"/>
      <c r="O90" s="52"/>
      <c r="P90" s="52"/>
    </row>
    <row r="91" spans="1:16" ht="13.5" customHeight="1">
      <c r="A91" s="150" t="s">
        <v>108</v>
      </c>
      <c r="B91" s="151"/>
      <c r="C91" s="151"/>
      <c r="D91" s="151"/>
      <c r="E91" s="151"/>
      <c r="F91" s="151"/>
      <c r="G91" s="151"/>
      <c r="H91" s="52"/>
      <c r="I91" s="52"/>
      <c r="J91" s="52"/>
      <c r="K91" s="52"/>
      <c r="L91" s="52"/>
      <c r="M91" s="52"/>
      <c r="N91" s="52"/>
      <c r="O91" s="52"/>
      <c r="P91" s="52"/>
    </row>
    <row r="92" spans="1:16" ht="13.5" customHeight="1">
      <c r="A92" s="110"/>
      <c r="B92" s="110"/>
      <c r="C92" s="110"/>
      <c r="D92" s="110"/>
      <c r="E92" s="110"/>
      <c r="F92" s="110"/>
      <c r="G92" s="110"/>
      <c r="H92" s="52"/>
      <c r="I92" s="52"/>
      <c r="J92" s="52"/>
      <c r="K92" s="52"/>
      <c r="L92" s="52"/>
      <c r="M92" s="52"/>
      <c r="N92" s="52"/>
      <c r="O92" s="52"/>
      <c r="P92" s="52"/>
    </row>
    <row r="93" spans="1:16">
      <c r="A93" s="145" t="s">
        <v>184</v>
      </c>
      <c r="B93" s="146"/>
      <c r="C93" s="146"/>
      <c r="D93" s="146"/>
      <c r="E93" s="146"/>
    </row>
    <row r="94" spans="1:16">
      <c r="A94" s="53" t="s">
        <v>127</v>
      </c>
    </row>
    <row r="95" spans="1:16">
      <c r="A95" s="156" t="s">
        <v>9</v>
      </c>
      <c r="B95" s="156" t="s">
        <v>8</v>
      </c>
      <c r="C95" s="55" t="s">
        <v>0</v>
      </c>
      <c r="D95" s="156" t="s">
        <v>42</v>
      </c>
      <c r="E95" s="56" t="s">
        <v>3</v>
      </c>
      <c r="F95" s="156" t="s">
        <v>42</v>
      </c>
      <c r="G95" s="56" t="s">
        <v>56</v>
      </c>
      <c r="H95" s="156" t="s">
        <v>42</v>
      </c>
      <c r="I95" s="56" t="s">
        <v>57</v>
      </c>
      <c r="J95" s="156" t="s">
        <v>42</v>
      </c>
      <c r="K95" s="56" t="s">
        <v>1</v>
      </c>
      <c r="L95" s="156" t="s">
        <v>42</v>
      </c>
    </row>
    <row r="96" spans="1:16">
      <c r="A96" s="156"/>
      <c r="B96" s="156"/>
      <c r="C96" s="57">
        <v>4.63</v>
      </c>
      <c r="D96" s="156"/>
      <c r="E96" s="57">
        <v>13.888999999999999</v>
      </c>
      <c r="F96" s="156"/>
      <c r="G96" s="57">
        <v>138.89400000000001</v>
      </c>
      <c r="H96" s="156"/>
      <c r="I96" s="57">
        <v>1388.942</v>
      </c>
      <c r="J96" s="156"/>
      <c r="K96" s="57">
        <v>3472.3539999999998</v>
      </c>
      <c r="L96" s="156"/>
    </row>
    <row r="97" spans="1:12">
      <c r="A97" s="156"/>
      <c r="B97" s="156"/>
      <c r="C97" s="58" t="s">
        <v>158</v>
      </c>
      <c r="D97" s="156"/>
      <c r="E97" s="58" t="s">
        <v>158</v>
      </c>
      <c r="F97" s="156"/>
      <c r="G97" s="58" t="s">
        <v>158</v>
      </c>
      <c r="H97" s="156"/>
      <c r="I97" s="58" t="s">
        <v>158</v>
      </c>
      <c r="J97" s="156"/>
      <c r="K97" s="58" t="s">
        <v>158</v>
      </c>
      <c r="L97" s="156"/>
    </row>
    <row r="98" spans="1:12">
      <c r="A98" s="155">
        <v>45902</v>
      </c>
      <c r="B98" s="157">
        <v>1</v>
      </c>
      <c r="C98" s="90">
        <v>3.7930000000000001</v>
      </c>
      <c r="D98" s="91">
        <v>-18.100000000000001</v>
      </c>
      <c r="E98" s="90">
        <v>14.646000000000001</v>
      </c>
      <c r="F98" s="91">
        <v>5.5</v>
      </c>
      <c r="G98" s="90">
        <v>133.40600000000001</v>
      </c>
      <c r="H98" s="91">
        <v>-4</v>
      </c>
      <c r="I98" s="90">
        <v>1433.482</v>
      </c>
      <c r="J98" s="91">
        <v>3.2</v>
      </c>
      <c r="K98" s="90">
        <v>3033.9580000000001</v>
      </c>
      <c r="L98" s="91">
        <v>-12.6</v>
      </c>
    </row>
    <row r="99" spans="1:12">
      <c r="A99" s="155"/>
      <c r="B99" s="158"/>
      <c r="C99" s="90">
        <v>4.4390000000000001</v>
      </c>
      <c r="D99" s="91">
        <v>-4.0999999999999996</v>
      </c>
      <c r="E99" s="90">
        <v>14.244</v>
      </c>
      <c r="F99" s="91">
        <v>2.6</v>
      </c>
      <c r="G99" s="90">
        <v>134.351</v>
      </c>
      <c r="H99" s="91">
        <v>-3.3</v>
      </c>
      <c r="I99" s="90">
        <v>1317.905</v>
      </c>
      <c r="J99" s="91">
        <v>-5.0999999999999996</v>
      </c>
      <c r="K99" s="90">
        <v>3181.549</v>
      </c>
      <c r="L99" s="91">
        <v>-8.4</v>
      </c>
    </row>
    <row r="100" spans="1:12">
      <c r="A100" s="155"/>
      <c r="B100" s="158"/>
      <c r="C100" s="90">
        <v>4.6429999999999998</v>
      </c>
      <c r="D100" s="91">
        <v>0.3</v>
      </c>
      <c r="E100" s="90">
        <v>15.492000000000001</v>
      </c>
      <c r="F100" s="91">
        <v>11.5</v>
      </c>
      <c r="G100" s="90">
        <v>136.541</v>
      </c>
      <c r="H100" s="91">
        <v>-1.7</v>
      </c>
      <c r="I100" s="90">
        <v>1274.1389999999999</v>
      </c>
      <c r="J100" s="91">
        <v>-8.3000000000000007</v>
      </c>
      <c r="K100" s="90">
        <v>3289.0810000000001</v>
      </c>
      <c r="L100" s="91">
        <v>-5.3</v>
      </c>
    </row>
    <row r="101" spans="1:12">
      <c r="A101" s="155"/>
      <c r="B101" s="158"/>
      <c r="C101" s="90">
        <v>4.4649999999999999</v>
      </c>
      <c r="D101" s="91">
        <v>-3.6</v>
      </c>
      <c r="E101" s="90">
        <v>13.682</v>
      </c>
      <c r="F101" s="91">
        <v>-1.5</v>
      </c>
      <c r="G101" s="90">
        <v>143.733</v>
      </c>
      <c r="H101" s="91">
        <v>3.5</v>
      </c>
      <c r="I101" s="90">
        <v>1327.91</v>
      </c>
      <c r="J101" s="91">
        <v>-4.4000000000000004</v>
      </c>
      <c r="K101" s="90">
        <v>3246.8719999999998</v>
      </c>
      <c r="L101" s="91">
        <v>-6.5</v>
      </c>
    </row>
    <row r="102" spans="1:12">
      <c r="A102" s="155"/>
      <c r="B102" s="158"/>
      <c r="C102" s="90">
        <v>4.9660000000000002</v>
      </c>
      <c r="D102" s="91">
        <v>7.3</v>
      </c>
      <c r="E102" s="90">
        <v>14.218</v>
      </c>
      <c r="F102" s="91">
        <v>2.4</v>
      </c>
      <c r="G102" s="90">
        <v>148.595</v>
      </c>
      <c r="H102" s="91">
        <v>7</v>
      </c>
      <c r="I102" s="90">
        <v>1447.5039999999999</v>
      </c>
      <c r="J102" s="91">
        <v>4.2</v>
      </c>
      <c r="K102" s="90" t="s">
        <v>180</v>
      </c>
      <c r="L102" s="91">
        <v>-24</v>
      </c>
    </row>
    <row r="103" spans="1:12">
      <c r="A103" s="155"/>
      <c r="B103" s="159"/>
      <c r="C103" s="90" t="s">
        <v>161</v>
      </c>
      <c r="D103" s="91">
        <v>-22</v>
      </c>
      <c r="E103" s="90">
        <v>14.125</v>
      </c>
      <c r="F103" s="91">
        <v>1.7</v>
      </c>
      <c r="G103" s="90">
        <v>155.488</v>
      </c>
      <c r="H103" s="91">
        <v>11.9</v>
      </c>
      <c r="I103" s="90">
        <v>1272.0989999999999</v>
      </c>
      <c r="J103" s="91">
        <v>-8.4</v>
      </c>
      <c r="K103" s="90">
        <v>3337.395</v>
      </c>
      <c r="L103" s="91">
        <v>-3.9</v>
      </c>
    </row>
    <row r="104" spans="1:12">
      <c r="A104" s="56" t="s">
        <v>78</v>
      </c>
      <c r="B104" s="147"/>
      <c r="C104" s="90">
        <v>4.319</v>
      </c>
      <c r="D104" s="147"/>
      <c r="E104" s="90">
        <v>14.401</v>
      </c>
      <c r="F104" s="147"/>
      <c r="G104" s="90">
        <v>142.01900000000001</v>
      </c>
      <c r="H104" s="147"/>
      <c r="I104" s="90">
        <v>1345.5070000000001</v>
      </c>
      <c r="J104" s="147"/>
      <c r="K104" s="90">
        <v>3121.366</v>
      </c>
      <c r="L104" s="147"/>
    </row>
    <row r="105" spans="1:12" ht="13.9">
      <c r="A105" s="56" t="s">
        <v>79</v>
      </c>
      <c r="B105" s="148"/>
      <c r="C105" s="90">
        <v>0.51700000000000002</v>
      </c>
      <c r="D105" s="148"/>
      <c r="E105" s="90">
        <v>0.61699999999999999</v>
      </c>
      <c r="F105" s="148"/>
      <c r="G105" s="90">
        <v>8.8379999999999992</v>
      </c>
      <c r="H105" s="148"/>
      <c r="I105" s="90">
        <v>77.066999999999993</v>
      </c>
      <c r="J105" s="148"/>
      <c r="K105" s="90">
        <v>258.51799999999997</v>
      </c>
      <c r="L105" s="148"/>
    </row>
    <row r="106" spans="1:12">
      <c r="A106" s="56" t="s">
        <v>44</v>
      </c>
      <c r="B106" s="148"/>
      <c r="C106" s="91">
        <v>12</v>
      </c>
      <c r="D106" s="148"/>
      <c r="E106" s="91">
        <v>4.3</v>
      </c>
      <c r="F106" s="148"/>
      <c r="G106" s="91">
        <v>6.2</v>
      </c>
      <c r="H106" s="148"/>
      <c r="I106" s="91">
        <v>5.7</v>
      </c>
      <c r="J106" s="148"/>
      <c r="K106" s="91">
        <v>8.3000000000000007</v>
      </c>
      <c r="L106" s="148"/>
    </row>
    <row r="107" spans="1:12">
      <c r="A107" s="56" t="s">
        <v>45</v>
      </c>
      <c r="B107" s="148"/>
      <c r="C107" s="91">
        <v>-6.7</v>
      </c>
      <c r="D107" s="148"/>
      <c r="E107" s="91">
        <v>3.7</v>
      </c>
      <c r="F107" s="148"/>
      <c r="G107" s="91">
        <v>2.2000000000000002</v>
      </c>
      <c r="H107" s="148"/>
      <c r="I107" s="91">
        <v>-3.1</v>
      </c>
      <c r="J107" s="148"/>
      <c r="K107" s="91">
        <v>-10.1</v>
      </c>
      <c r="L107" s="148"/>
    </row>
    <row r="108" spans="1:12">
      <c r="A108" s="56" t="s">
        <v>5</v>
      </c>
      <c r="B108" s="149"/>
      <c r="C108" s="89">
        <v>6</v>
      </c>
      <c r="D108" s="149"/>
      <c r="E108" s="89">
        <v>6</v>
      </c>
      <c r="F108" s="149"/>
      <c r="G108" s="89">
        <v>6</v>
      </c>
      <c r="H108" s="149"/>
      <c r="I108" s="89">
        <v>6</v>
      </c>
      <c r="J108" s="149"/>
      <c r="K108" s="89">
        <v>6</v>
      </c>
      <c r="L108" s="149"/>
    </row>
    <row r="109" spans="1:12">
      <c r="A109" s="150" t="s">
        <v>108</v>
      </c>
      <c r="B109" s="151"/>
      <c r="C109" s="151"/>
      <c r="D109" s="151"/>
      <c r="E109" s="151"/>
      <c r="F109" s="151"/>
      <c r="G109" s="151"/>
    </row>
    <row r="110" spans="1:12" ht="13.9">
      <c r="A110" s="111" t="s">
        <v>185</v>
      </c>
      <c r="B110" s="84"/>
      <c r="C110" s="84"/>
      <c r="D110" s="84"/>
      <c r="E110" s="84"/>
      <c r="F110" s="84"/>
      <c r="G110" s="84"/>
    </row>
    <row r="111" spans="1:1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</row>
    <row r="112" spans="1:12">
      <c r="A112" s="53" t="s">
        <v>162</v>
      </c>
      <c r="B112" s="110"/>
      <c r="C112" s="110"/>
      <c r="D112" s="110"/>
      <c r="E112" s="110"/>
      <c r="F112" s="110"/>
      <c r="G112" s="110"/>
    </row>
    <row r="113" spans="1:12">
      <c r="A113" s="156" t="s">
        <v>9</v>
      </c>
      <c r="B113" s="156" t="s">
        <v>8</v>
      </c>
      <c r="C113" s="55" t="s">
        <v>0</v>
      </c>
      <c r="D113" s="156" t="s">
        <v>42</v>
      </c>
      <c r="E113" s="56" t="s">
        <v>3</v>
      </c>
      <c r="F113" s="156" t="s">
        <v>42</v>
      </c>
      <c r="G113" s="56" t="s">
        <v>56</v>
      </c>
      <c r="H113" s="156" t="s">
        <v>42</v>
      </c>
      <c r="I113" s="56" t="s">
        <v>57</v>
      </c>
      <c r="J113" s="156" t="s">
        <v>42</v>
      </c>
      <c r="K113" s="56" t="s">
        <v>1</v>
      </c>
      <c r="L113" s="156" t="s">
        <v>42</v>
      </c>
    </row>
    <row r="114" spans="1:12">
      <c r="A114" s="156"/>
      <c r="B114" s="156"/>
      <c r="C114" s="57">
        <v>5.37</v>
      </c>
      <c r="D114" s="156"/>
      <c r="E114" s="57">
        <v>16.111000000000001</v>
      </c>
      <c r="F114" s="156"/>
      <c r="G114" s="57">
        <v>161.10499999999999</v>
      </c>
      <c r="H114" s="156"/>
      <c r="I114" s="57">
        <v>1611.05</v>
      </c>
      <c r="J114" s="156"/>
      <c r="K114" s="57">
        <v>4027.6260000000002</v>
      </c>
      <c r="L114" s="156"/>
    </row>
    <row r="115" spans="1:12">
      <c r="A115" s="156"/>
      <c r="B115" s="156"/>
      <c r="C115" s="58" t="s">
        <v>158</v>
      </c>
      <c r="D115" s="156"/>
      <c r="E115" s="58" t="s">
        <v>158</v>
      </c>
      <c r="F115" s="156"/>
      <c r="G115" s="58" t="s">
        <v>158</v>
      </c>
      <c r="H115" s="156"/>
      <c r="I115" s="58" t="s">
        <v>158</v>
      </c>
      <c r="J115" s="156"/>
      <c r="K115" s="58" t="s">
        <v>158</v>
      </c>
      <c r="L115" s="156"/>
    </row>
    <row r="116" spans="1:12">
      <c r="A116" s="155">
        <v>45902</v>
      </c>
      <c r="B116" s="157">
        <v>1</v>
      </c>
      <c r="C116" s="90">
        <v>5.0309999999999997</v>
      </c>
      <c r="D116" s="91">
        <v>-6.3</v>
      </c>
      <c r="E116" s="90">
        <v>15.488</v>
      </c>
      <c r="F116" s="91">
        <v>-3.9</v>
      </c>
      <c r="G116" s="90">
        <v>145.995</v>
      </c>
      <c r="H116" s="91">
        <v>-9.4</v>
      </c>
      <c r="I116" s="90">
        <v>1807.221</v>
      </c>
      <c r="J116" s="91">
        <v>12.2</v>
      </c>
      <c r="K116" s="90">
        <v>3519.5239999999999</v>
      </c>
      <c r="L116" s="91">
        <v>-12.6</v>
      </c>
    </row>
    <row r="117" spans="1:12">
      <c r="A117" s="155"/>
      <c r="B117" s="158"/>
      <c r="C117" s="90">
        <v>4.5019999999999998</v>
      </c>
      <c r="D117" s="91">
        <v>-16.2</v>
      </c>
      <c r="E117" s="90">
        <v>16.433</v>
      </c>
      <c r="F117" s="91">
        <v>2</v>
      </c>
      <c r="G117" s="90">
        <v>155.929</v>
      </c>
      <c r="H117" s="91">
        <v>-3.2</v>
      </c>
      <c r="I117" s="90">
        <v>1510.2940000000001</v>
      </c>
      <c r="J117" s="91">
        <v>-6.3</v>
      </c>
      <c r="K117" s="90">
        <v>3573.1219999999998</v>
      </c>
      <c r="L117" s="91">
        <v>-11.3</v>
      </c>
    </row>
    <row r="118" spans="1:12">
      <c r="A118" s="155"/>
      <c r="B118" s="158"/>
      <c r="C118" s="90">
        <v>4.4320000000000004</v>
      </c>
      <c r="D118" s="91">
        <v>-17.5</v>
      </c>
      <c r="E118" s="90">
        <v>15.888999999999999</v>
      </c>
      <c r="F118" s="91">
        <v>-1.4</v>
      </c>
      <c r="G118" s="90">
        <v>148.316</v>
      </c>
      <c r="H118" s="91">
        <v>-7.9</v>
      </c>
      <c r="I118" s="90">
        <v>1466.7670000000001</v>
      </c>
      <c r="J118" s="91">
        <v>-9</v>
      </c>
      <c r="K118" s="90">
        <v>3859.5569999999998</v>
      </c>
      <c r="L118" s="91">
        <v>-4.2</v>
      </c>
    </row>
    <row r="119" spans="1:12">
      <c r="A119" s="155"/>
      <c r="B119" s="158"/>
      <c r="C119" s="90">
        <v>5.2510000000000003</v>
      </c>
      <c r="D119" s="91">
        <v>-2.2000000000000002</v>
      </c>
      <c r="E119" s="90">
        <v>14.029</v>
      </c>
      <c r="F119" s="91">
        <v>-12.9</v>
      </c>
      <c r="G119" s="90">
        <v>162.43299999999999</v>
      </c>
      <c r="H119" s="91">
        <v>0.8</v>
      </c>
      <c r="I119" s="90">
        <v>1583.74</v>
      </c>
      <c r="J119" s="91">
        <v>-1.7</v>
      </c>
      <c r="K119" s="90">
        <v>3838.0810000000001</v>
      </c>
      <c r="L119" s="91">
        <v>-4.7</v>
      </c>
    </row>
    <row r="120" spans="1:12">
      <c r="A120" s="155"/>
      <c r="B120" s="158"/>
      <c r="C120" s="90" t="s">
        <v>163</v>
      </c>
      <c r="D120" s="91">
        <v>-24.7</v>
      </c>
      <c r="E120" s="90">
        <v>14.518000000000001</v>
      </c>
      <c r="F120" s="91">
        <v>-9.9</v>
      </c>
      <c r="G120" s="90">
        <v>160.43600000000001</v>
      </c>
      <c r="H120" s="91">
        <v>-0.4</v>
      </c>
      <c r="I120" s="90">
        <v>1602.9570000000001</v>
      </c>
      <c r="J120" s="91">
        <v>-0.5</v>
      </c>
      <c r="K120" s="90" t="s">
        <v>181</v>
      </c>
      <c r="L120" s="91">
        <v>-28.7</v>
      </c>
    </row>
    <row r="121" spans="1:12">
      <c r="A121" s="155"/>
      <c r="B121" s="159"/>
      <c r="C121" s="90">
        <v>4.9930000000000003</v>
      </c>
      <c r="D121" s="91">
        <v>-7</v>
      </c>
      <c r="E121" s="90">
        <v>14.132999999999999</v>
      </c>
      <c r="F121" s="91">
        <v>-12.3</v>
      </c>
      <c r="G121" s="90" t="s">
        <v>182</v>
      </c>
      <c r="H121" s="91">
        <v>17.8</v>
      </c>
      <c r="I121" s="90">
        <v>1430.846</v>
      </c>
      <c r="J121" s="91">
        <v>-11.2</v>
      </c>
      <c r="K121" s="90">
        <v>3879.8290000000002</v>
      </c>
      <c r="L121" s="91">
        <v>-3.7</v>
      </c>
    </row>
    <row r="122" spans="1:12">
      <c r="A122" s="56" t="s">
        <v>78</v>
      </c>
      <c r="B122" s="147"/>
      <c r="C122" s="90">
        <v>4.7080000000000002</v>
      </c>
      <c r="D122" s="147"/>
      <c r="E122" s="90">
        <v>15.082000000000001</v>
      </c>
      <c r="F122" s="147"/>
      <c r="G122" s="90">
        <v>160.48599999999999</v>
      </c>
      <c r="H122" s="147"/>
      <c r="I122" s="90">
        <v>1566.971</v>
      </c>
      <c r="J122" s="147"/>
      <c r="K122" s="90">
        <v>3590.5749999999998</v>
      </c>
      <c r="L122" s="147"/>
    </row>
    <row r="123" spans="1:12" ht="13.9">
      <c r="A123" s="56" t="s">
        <v>79</v>
      </c>
      <c r="B123" s="148"/>
      <c r="C123" s="90">
        <v>0.45700000000000002</v>
      </c>
      <c r="D123" s="148"/>
      <c r="E123" s="90">
        <v>0.997</v>
      </c>
      <c r="F123" s="148"/>
      <c r="G123" s="90">
        <v>15.763</v>
      </c>
      <c r="H123" s="148"/>
      <c r="I123" s="90">
        <v>134.96600000000001</v>
      </c>
      <c r="J123" s="148"/>
      <c r="K123" s="90">
        <v>383.94299999999998</v>
      </c>
      <c r="L123" s="148"/>
    </row>
    <row r="124" spans="1:12">
      <c r="A124" s="56" t="s">
        <v>34</v>
      </c>
      <c r="B124" s="148"/>
      <c r="C124" s="91">
        <v>9.6999999999999993</v>
      </c>
      <c r="D124" s="148"/>
      <c r="E124" s="91">
        <v>6.6</v>
      </c>
      <c r="F124" s="148"/>
      <c r="G124" s="91">
        <v>9.8000000000000007</v>
      </c>
      <c r="H124" s="148"/>
      <c r="I124" s="91">
        <v>8.6</v>
      </c>
      <c r="J124" s="148"/>
      <c r="K124" s="91">
        <v>10.7</v>
      </c>
      <c r="L124" s="148"/>
    </row>
    <row r="125" spans="1:12">
      <c r="A125" s="56" t="s">
        <v>35</v>
      </c>
      <c r="B125" s="148"/>
      <c r="C125" s="91">
        <v>-12.3</v>
      </c>
      <c r="D125" s="148"/>
      <c r="E125" s="91">
        <v>-6.4</v>
      </c>
      <c r="F125" s="148"/>
      <c r="G125" s="91">
        <v>-0.4</v>
      </c>
      <c r="H125" s="148"/>
      <c r="I125" s="91">
        <v>-2.7</v>
      </c>
      <c r="J125" s="148"/>
      <c r="K125" s="91">
        <v>-10.9</v>
      </c>
      <c r="L125" s="148"/>
    </row>
    <row r="126" spans="1:12">
      <c r="A126" s="56" t="s">
        <v>5</v>
      </c>
      <c r="B126" s="149"/>
      <c r="C126" s="89">
        <v>6</v>
      </c>
      <c r="D126" s="149"/>
      <c r="E126" s="89">
        <v>6</v>
      </c>
      <c r="F126" s="149"/>
      <c r="G126" s="89">
        <v>6</v>
      </c>
      <c r="H126" s="149"/>
      <c r="I126" s="89">
        <v>6</v>
      </c>
      <c r="J126" s="149"/>
      <c r="K126" s="89">
        <v>6</v>
      </c>
      <c r="L126" s="149"/>
    </row>
    <row r="127" spans="1:12">
      <c r="A127" s="150" t="s">
        <v>108</v>
      </c>
      <c r="B127" s="151"/>
      <c r="C127" s="151"/>
      <c r="D127" s="151"/>
      <c r="E127" s="151"/>
      <c r="F127" s="151"/>
      <c r="G127" s="151"/>
    </row>
    <row r="128" spans="1:12" ht="13.9">
      <c r="A128" s="111" t="s">
        <v>185</v>
      </c>
    </row>
  </sheetData>
  <mergeCells count="112">
    <mergeCell ref="H122:H126"/>
    <mergeCell ref="J122:J126"/>
    <mergeCell ref="L122:L126"/>
    <mergeCell ref="A109:G109"/>
    <mergeCell ref="A127:G127"/>
    <mergeCell ref="A116:A121"/>
    <mergeCell ref="B116:B121"/>
    <mergeCell ref="B122:B126"/>
    <mergeCell ref="D122:D126"/>
    <mergeCell ref="F122:F126"/>
    <mergeCell ref="J104:J108"/>
    <mergeCell ref="L104:L108"/>
    <mergeCell ref="A113:A115"/>
    <mergeCell ref="B113:B115"/>
    <mergeCell ref="D113:D115"/>
    <mergeCell ref="F113:F115"/>
    <mergeCell ref="H113:H115"/>
    <mergeCell ref="J113:J115"/>
    <mergeCell ref="L113:L115"/>
    <mergeCell ref="B104:B108"/>
    <mergeCell ref="D104:D108"/>
    <mergeCell ref="F104:F108"/>
    <mergeCell ref="H104:H108"/>
    <mergeCell ref="A95:A97"/>
    <mergeCell ref="B95:B97"/>
    <mergeCell ref="D95:D97"/>
    <mergeCell ref="F95:F97"/>
    <mergeCell ref="H95:H97"/>
    <mergeCell ref="J95:J97"/>
    <mergeCell ref="L95:L97"/>
    <mergeCell ref="A98:A103"/>
    <mergeCell ref="B98:B103"/>
    <mergeCell ref="L59:L63"/>
    <mergeCell ref="L6:L8"/>
    <mergeCell ref="L15:L19"/>
    <mergeCell ref="L26:L30"/>
    <mergeCell ref="L37:L41"/>
    <mergeCell ref="L42:L46"/>
    <mergeCell ref="L50:L52"/>
    <mergeCell ref="J50:J52"/>
    <mergeCell ref="J6:J8"/>
    <mergeCell ref="J37:J41"/>
    <mergeCell ref="J15:J19"/>
    <mergeCell ref="J42:J46"/>
    <mergeCell ref="J26:J30"/>
    <mergeCell ref="L86:L90"/>
    <mergeCell ref="L70:L74"/>
    <mergeCell ref="L81:L85"/>
    <mergeCell ref="H42:H46"/>
    <mergeCell ref="A50:A52"/>
    <mergeCell ref="B50:B52"/>
    <mergeCell ref="D50:D52"/>
    <mergeCell ref="F50:F52"/>
    <mergeCell ref="H50:H52"/>
    <mergeCell ref="A49:E49"/>
    <mergeCell ref="B42:B46"/>
    <mergeCell ref="F86:F90"/>
    <mergeCell ref="H86:H90"/>
    <mergeCell ref="H59:H63"/>
    <mergeCell ref="J59:J63"/>
    <mergeCell ref="A64:A69"/>
    <mergeCell ref="A53:A58"/>
    <mergeCell ref="B53:B58"/>
    <mergeCell ref="A47:G47"/>
    <mergeCell ref="F59:F63"/>
    <mergeCell ref="J86:J90"/>
    <mergeCell ref="H81:H85"/>
    <mergeCell ref="J81:J85"/>
    <mergeCell ref="H70:H74"/>
    <mergeCell ref="A2:E2"/>
    <mergeCell ref="A4:E4"/>
    <mergeCell ref="B15:B19"/>
    <mergeCell ref="A6:A8"/>
    <mergeCell ref="B6:B8"/>
    <mergeCell ref="D6:D8"/>
    <mergeCell ref="D15:D19"/>
    <mergeCell ref="B59:B63"/>
    <mergeCell ref="D59:D63"/>
    <mergeCell ref="A9:A14"/>
    <mergeCell ref="A31:A36"/>
    <mergeCell ref="A20:A25"/>
    <mergeCell ref="F26:F30"/>
    <mergeCell ref="D26:D30"/>
    <mergeCell ref="D42:D46"/>
    <mergeCell ref="F42:F46"/>
    <mergeCell ref="H6:H8"/>
    <mergeCell ref="H26:H30"/>
    <mergeCell ref="B37:B41"/>
    <mergeCell ref="B26:B30"/>
    <mergeCell ref="F6:F8"/>
    <mergeCell ref="D37:D41"/>
    <mergeCell ref="F37:F41"/>
    <mergeCell ref="H37:H41"/>
    <mergeCell ref="F15:F19"/>
    <mergeCell ref="H15:H19"/>
    <mergeCell ref="B9:B14"/>
    <mergeCell ref="B31:B36"/>
    <mergeCell ref="B20:B25"/>
    <mergeCell ref="A93:E93"/>
    <mergeCell ref="J70:J74"/>
    <mergeCell ref="A91:G91"/>
    <mergeCell ref="B64:B69"/>
    <mergeCell ref="B70:B74"/>
    <mergeCell ref="D70:D74"/>
    <mergeCell ref="F70:F74"/>
    <mergeCell ref="B86:B90"/>
    <mergeCell ref="D86:D90"/>
    <mergeCell ref="B81:B85"/>
    <mergeCell ref="D81:D85"/>
    <mergeCell ref="F81:F85"/>
    <mergeCell ref="A75:A80"/>
    <mergeCell ref="B75:B8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U80"/>
  <sheetViews>
    <sheetView topLeftCell="A40" zoomScale="70" zoomScaleNormal="70" zoomScaleSheetLayoutView="100" workbookViewId="0">
      <selection activeCell="W42" sqref="W42"/>
    </sheetView>
  </sheetViews>
  <sheetFormatPr defaultColWidth="8.86328125" defaultRowHeight="15.75" customHeight="1"/>
  <cols>
    <col min="1" max="1" width="13.59765625" style="11" customWidth="1"/>
    <col min="2" max="2" width="14.73046875" style="92" customWidth="1"/>
    <col min="3" max="3" width="15.73046875" style="92" customWidth="1"/>
    <col min="4" max="4" width="12.73046875" style="98" customWidth="1"/>
    <col min="5" max="6" width="12.73046875" style="92" customWidth="1"/>
    <col min="7" max="7" width="12.73046875" style="98" customWidth="1"/>
    <col min="8" max="9" width="12.73046875" style="92" customWidth="1"/>
    <col min="10" max="10" width="12.73046875" style="98" customWidth="1"/>
    <col min="11" max="14" width="10" style="11" customWidth="1"/>
    <col min="15" max="20" width="16.46484375" style="11" customWidth="1"/>
    <col min="21" max="21" width="14.1328125" style="11" customWidth="1"/>
    <col min="22" max="16384" width="8.86328125" style="11"/>
  </cols>
  <sheetData>
    <row r="2" spans="1:10" ht="15.75" customHeight="1">
      <c r="A2" s="24" t="s">
        <v>76</v>
      </c>
    </row>
    <row r="3" spans="1:10" ht="15.75" customHeight="1">
      <c r="A3" s="24"/>
    </row>
    <row r="4" spans="1:10" ht="15.75" customHeight="1">
      <c r="A4" s="24" t="s">
        <v>187</v>
      </c>
    </row>
    <row r="5" spans="1:10" ht="15.75" customHeight="1">
      <c r="A5" s="11" t="s">
        <v>127</v>
      </c>
    </row>
    <row r="6" spans="1:10" ht="15.75" customHeight="1">
      <c r="A6" s="164" t="s">
        <v>164</v>
      </c>
      <c r="B6" s="165"/>
      <c r="C6" s="165"/>
      <c r="D6" s="165"/>
      <c r="E6" s="165"/>
      <c r="F6" s="165"/>
      <c r="G6" s="165"/>
      <c r="H6" s="165"/>
      <c r="I6" s="165"/>
      <c r="J6" s="166"/>
    </row>
    <row r="7" spans="1:10" ht="15.75" customHeight="1">
      <c r="A7" s="171"/>
      <c r="B7" s="175" t="s">
        <v>3</v>
      </c>
      <c r="C7" s="175"/>
      <c r="D7" s="175"/>
      <c r="E7" s="172" t="s">
        <v>2</v>
      </c>
      <c r="F7" s="173"/>
      <c r="G7" s="174"/>
      <c r="H7" s="172" t="s">
        <v>1</v>
      </c>
      <c r="I7" s="173"/>
      <c r="J7" s="174"/>
    </row>
    <row r="8" spans="1:10" ht="29.45" customHeight="1">
      <c r="A8" s="171"/>
      <c r="B8" s="93" t="s">
        <v>77</v>
      </c>
      <c r="C8" s="71" t="s">
        <v>74</v>
      </c>
      <c r="D8" s="73" t="s">
        <v>43</v>
      </c>
      <c r="E8" s="71" t="s">
        <v>75</v>
      </c>
      <c r="F8" s="71" t="s">
        <v>74</v>
      </c>
      <c r="G8" s="73" t="s">
        <v>43</v>
      </c>
      <c r="H8" s="71" t="s">
        <v>84</v>
      </c>
      <c r="I8" s="71" t="s">
        <v>85</v>
      </c>
      <c r="J8" s="73" t="s">
        <v>43</v>
      </c>
    </row>
    <row r="9" spans="1:10" ht="15.75" customHeight="1">
      <c r="A9" s="25">
        <v>1</v>
      </c>
      <c r="B9" s="94">
        <v>4.6498999999999999E-2</v>
      </c>
      <c r="C9" s="94">
        <v>5.4346999999999999E-2</v>
      </c>
      <c r="D9" s="72">
        <f>ROUND(B9/C$15*100,1)</f>
        <v>90</v>
      </c>
      <c r="E9" s="94">
        <v>4.4302720000000004</v>
      </c>
      <c r="F9" s="94">
        <v>5.343826</v>
      </c>
      <c r="G9" s="72">
        <f>ROUND(E9/F$15*100,1)</f>
        <v>81.8</v>
      </c>
      <c r="H9" s="94">
        <v>12.016285</v>
      </c>
      <c r="I9" s="94">
        <v>13.173517</v>
      </c>
      <c r="J9" s="72">
        <f>ROUND(H9/I$15*100,1)</f>
        <v>89.4</v>
      </c>
    </row>
    <row r="10" spans="1:10" ht="15.75" customHeight="1">
      <c r="A10" s="25">
        <v>2</v>
      </c>
      <c r="B10" s="94">
        <v>5.0512000000000001E-2</v>
      </c>
      <c r="C10" s="94">
        <v>5.2567999999999997E-2</v>
      </c>
      <c r="D10" s="72">
        <f t="shared" ref="D10:D13" si="0">ROUND(B10/C$15*100,1)</f>
        <v>97.8</v>
      </c>
      <c r="E10" s="94">
        <v>4.5411460000000003</v>
      </c>
      <c r="F10" s="94">
        <v>5.3483130000000001</v>
      </c>
      <c r="G10" s="72">
        <f t="shared" ref="G10:G13" si="1">ROUND(E10/F$15*100,1)</f>
        <v>83.8</v>
      </c>
      <c r="H10" s="94">
        <v>11.895759999999999</v>
      </c>
      <c r="I10" s="94">
        <v>13.329041</v>
      </c>
      <c r="J10" s="72">
        <f t="shared" ref="J10:J13" si="2">ROUND(H10/I$15*100,1)</f>
        <v>88.5</v>
      </c>
    </row>
    <row r="11" spans="1:10" ht="15.75" customHeight="1">
      <c r="A11" s="25">
        <v>3</v>
      </c>
      <c r="B11" s="94">
        <v>4.7857999999999998E-2</v>
      </c>
      <c r="C11" s="94">
        <v>5.1221999999999997E-2</v>
      </c>
      <c r="D11" s="72">
        <f t="shared" si="0"/>
        <v>92.7</v>
      </c>
      <c r="E11" s="94">
        <v>4.9293839999999998</v>
      </c>
      <c r="F11" s="94">
        <v>5.4863160000000004</v>
      </c>
      <c r="G11" s="72">
        <f t="shared" si="1"/>
        <v>91</v>
      </c>
      <c r="H11" s="94">
        <v>11.843980999999999</v>
      </c>
      <c r="I11" s="94">
        <v>13.620084</v>
      </c>
      <c r="J11" s="72">
        <f>ROUND(H11/I$15*100,1)</f>
        <v>88.1</v>
      </c>
    </row>
    <row r="12" spans="1:10" ht="15.75" customHeight="1">
      <c r="A12" s="25">
        <v>4</v>
      </c>
      <c r="B12" s="94">
        <v>4.7392999999999998E-2</v>
      </c>
      <c r="C12" s="94">
        <v>5.1677000000000001E-2</v>
      </c>
      <c r="D12" s="72">
        <f t="shared" si="0"/>
        <v>91.8</v>
      </c>
      <c r="E12" s="94">
        <v>4.7174839999999998</v>
      </c>
      <c r="F12" s="94">
        <v>5.3292489999999999</v>
      </c>
      <c r="G12" s="72">
        <f t="shared" si="1"/>
        <v>87.1</v>
      </c>
      <c r="H12" s="94">
        <v>11.326105999999999</v>
      </c>
      <c r="I12" s="94">
        <v>13.190576999999999</v>
      </c>
      <c r="J12" s="72">
        <f t="shared" si="2"/>
        <v>84.3</v>
      </c>
    </row>
    <row r="13" spans="1:10" ht="15.75" customHeight="1">
      <c r="A13" s="25">
        <v>5</v>
      </c>
      <c r="B13" s="94">
        <v>4.7389000000000001E-2</v>
      </c>
      <c r="C13" s="94">
        <v>5.0368999999999997E-2</v>
      </c>
      <c r="D13" s="72">
        <f t="shared" si="0"/>
        <v>91.8</v>
      </c>
      <c r="E13" s="94">
        <v>4.7211309999999997</v>
      </c>
      <c r="F13" s="94">
        <v>5.3626050000000003</v>
      </c>
      <c r="G13" s="72">
        <f t="shared" si="1"/>
        <v>87.1</v>
      </c>
      <c r="H13" s="94">
        <v>11.911432</v>
      </c>
      <c r="I13" s="94">
        <v>13.749141</v>
      </c>
      <c r="J13" s="72">
        <f t="shared" si="2"/>
        <v>88.6</v>
      </c>
    </row>
    <row r="14" spans="1:10" ht="15.75" customHeight="1">
      <c r="A14" s="25">
        <v>6</v>
      </c>
      <c r="B14" s="94">
        <v>4.6205999999999997E-2</v>
      </c>
      <c r="C14" s="94">
        <v>4.9640999999999998E-2</v>
      </c>
      <c r="D14" s="72">
        <f>ROUND(B14/C$15*100,1)</f>
        <v>89.5</v>
      </c>
      <c r="E14" s="94">
        <v>4.7474780000000001</v>
      </c>
      <c r="F14" s="94">
        <v>5.6417900000000003</v>
      </c>
      <c r="G14" s="72">
        <f>ROUND(E14/F$15*100,1)</f>
        <v>87.6</v>
      </c>
      <c r="H14" s="94">
        <v>11.587272</v>
      </c>
      <c r="I14" s="94">
        <v>13.564548</v>
      </c>
      <c r="J14" s="72">
        <f>ROUND(H14/I$15*100,1)</f>
        <v>86.2</v>
      </c>
    </row>
    <row r="15" spans="1:10" ht="15.75" customHeight="1">
      <c r="A15" s="25" t="s">
        <v>86</v>
      </c>
      <c r="B15" s="71">
        <f>ROUND(AVERAGEA(B9:B14),6)</f>
        <v>4.7642999999999998E-2</v>
      </c>
      <c r="C15" s="71">
        <f>ROUND(AVERAGEA(C9:C14),6)</f>
        <v>5.1637000000000002E-2</v>
      </c>
      <c r="D15" s="73">
        <f>ROUND(AVERAGE(D9:D14),1)</f>
        <v>92.3</v>
      </c>
      <c r="E15" s="71">
        <f>ROUND(AVERAGEA(E9:E14),6)</f>
        <v>4.6811489999999996</v>
      </c>
      <c r="F15" s="71">
        <f>ROUND(AVERAGEA(F9:F14),6)</f>
        <v>5.4186829999999997</v>
      </c>
      <c r="G15" s="73">
        <f>ROUND(AVERAGE(G9:G14),1)</f>
        <v>86.4</v>
      </c>
      <c r="H15" s="71">
        <f>ROUND(AVERAGEA(H9:H14),6)</f>
        <v>11.763472999999999</v>
      </c>
      <c r="I15" s="71">
        <f>ROUND(AVERAGEA(I9:I14),6)</f>
        <v>13.437818</v>
      </c>
      <c r="J15" s="73">
        <f>ROUND(AVERAGE(J9:J14),1)</f>
        <v>87.5</v>
      </c>
    </row>
    <row r="16" spans="1:10" ht="15.75" customHeight="1">
      <c r="A16" s="25" t="s">
        <v>4</v>
      </c>
      <c r="B16" s="167"/>
      <c r="C16" s="168"/>
      <c r="D16" s="73">
        <f>ROUND(STDEV(D9:D14),1)</f>
        <v>3</v>
      </c>
      <c r="E16" s="167"/>
      <c r="F16" s="168"/>
      <c r="G16" s="73">
        <f>ROUND(STDEV(G9:G14),1)</f>
        <v>3.2</v>
      </c>
      <c r="H16" s="167"/>
      <c r="I16" s="168"/>
      <c r="J16" s="73">
        <f>ROUND(STDEV(J9:J14),1)</f>
        <v>1.9</v>
      </c>
    </row>
    <row r="17" spans="1:10" ht="15.75" customHeight="1">
      <c r="A17" s="25" t="s">
        <v>40</v>
      </c>
      <c r="B17" s="169"/>
      <c r="C17" s="170"/>
      <c r="D17" s="73">
        <f>ROUND(D16/D15*100,1)</f>
        <v>3.3</v>
      </c>
      <c r="E17" s="169"/>
      <c r="F17" s="170"/>
      <c r="G17" s="73">
        <f>ROUND(G16/G15*100,1)</f>
        <v>3.7</v>
      </c>
      <c r="H17" s="169"/>
      <c r="I17" s="170"/>
      <c r="J17" s="73">
        <f>ROUND(J16/J15*100,1)</f>
        <v>2.2000000000000002</v>
      </c>
    </row>
    <row r="18" spans="1:10" ht="15.75" customHeight="1">
      <c r="A18" s="13" t="s">
        <v>87</v>
      </c>
      <c r="B18" s="162">
        <f>ROUND(AVERAGE(D15,G15,J15),1)</f>
        <v>88.7</v>
      </c>
      <c r="C18" s="163"/>
      <c r="D18" s="163"/>
      <c r="E18" s="163"/>
      <c r="F18" s="163"/>
      <c r="G18" s="163"/>
      <c r="H18" s="163"/>
      <c r="I18" s="163"/>
      <c r="J18" s="163"/>
    </row>
    <row r="19" spans="1:10" ht="15.75" customHeight="1">
      <c r="A19" s="13" t="s">
        <v>88</v>
      </c>
      <c r="B19" s="162">
        <f>ROUND(STDEV(D15,G15,J15)/B18*100,1)</f>
        <v>3.5</v>
      </c>
      <c r="C19" s="163"/>
      <c r="D19" s="163"/>
      <c r="E19" s="163"/>
      <c r="F19" s="163"/>
      <c r="G19" s="163"/>
      <c r="H19" s="163"/>
      <c r="I19" s="163"/>
      <c r="J19" s="163"/>
    </row>
    <row r="20" spans="1:10" ht="15.75" customHeight="1">
      <c r="B20" s="95"/>
      <c r="C20" s="96"/>
      <c r="D20" s="99"/>
      <c r="E20" s="96"/>
      <c r="F20" s="96"/>
      <c r="G20" s="99"/>
    </row>
    <row r="21" spans="1:10" ht="15.75" customHeight="1">
      <c r="A21" s="11" t="s">
        <v>128</v>
      </c>
    </row>
    <row r="22" spans="1:10" ht="15.75" customHeight="1">
      <c r="A22" s="164" t="s">
        <v>164</v>
      </c>
      <c r="B22" s="165"/>
      <c r="C22" s="165"/>
      <c r="D22" s="165"/>
      <c r="E22" s="165"/>
      <c r="F22" s="165"/>
      <c r="G22" s="165"/>
      <c r="H22" s="165"/>
      <c r="I22" s="165"/>
      <c r="J22" s="166"/>
    </row>
    <row r="23" spans="1:10" ht="15.75" customHeight="1">
      <c r="A23" s="171"/>
      <c r="B23" s="175" t="s">
        <v>3</v>
      </c>
      <c r="C23" s="175"/>
      <c r="D23" s="175"/>
      <c r="E23" s="172" t="s">
        <v>2</v>
      </c>
      <c r="F23" s="173"/>
      <c r="G23" s="174"/>
      <c r="H23" s="172" t="s">
        <v>1</v>
      </c>
      <c r="I23" s="173"/>
      <c r="J23" s="174"/>
    </row>
    <row r="24" spans="1:10" ht="27">
      <c r="A24" s="171"/>
      <c r="B24" s="93" t="s">
        <v>77</v>
      </c>
      <c r="C24" s="71" t="s">
        <v>74</v>
      </c>
      <c r="D24" s="73" t="s">
        <v>43</v>
      </c>
      <c r="E24" s="71" t="s">
        <v>75</v>
      </c>
      <c r="F24" s="71" t="s">
        <v>74</v>
      </c>
      <c r="G24" s="73" t="s">
        <v>43</v>
      </c>
      <c r="H24" s="71" t="s">
        <v>84</v>
      </c>
      <c r="I24" s="71" t="s">
        <v>85</v>
      </c>
      <c r="J24" s="73" t="s">
        <v>43</v>
      </c>
    </row>
    <row r="25" spans="1:10" ht="15.75" customHeight="1">
      <c r="A25" s="25">
        <v>1</v>
      </c>
      <c r="B25" s="94">
        <v>3.6839999999999998E-2</v>
      </c>
      <c r="C25" s="94">
        <v>4.4483000000000002E-2</v>
      </c>
      <c r="D25" s="72">
        <f>ROUND(B25/C$31*100,1)</f>
        <v>85.6</v>
      </c>
      <c r="E25" s="94">
        <v>3.5284529999999998</v>
      </c>
      <c r="F25" s="94">
        <v>4.0925419999999999</v>
      </c>
      <c r="G25" s="72">
        <f>ROUND(E25/F$31*100,1)</f>
        <v>88.1</v>
      </c>
      <c r="H25" s="94">
        <v>8.5756510000000006</v>
      </c>
      <c r="I25" s="94">
        <v>9.6623350000000006</v>
      </c>
      <c r="J25" s="72">
        <f>ROUND(H25/I$31*100,1)</f>
        <v>88.9</v>
      </c>
    </row>
    <row r="26" spans="1:10" ht="15.75" customHeight="1">
      <c r="A26" s="25">
        <v>2</v>
      </c>
      <c r="B26" s="94">
        <v>3.7978999999999999E-2</v>
      </c>
      <c r="C26" s="94">
        <v>4.2960999999999999E-2</v>
      </c>
      <c r="D26" s="72">
        <f t="shared" ref="D26:D30" si="3">ROUND(B26/C$31*100,1)</f>
        <v>88.2</v>
      </c>
      <c r="E26" s="94">
        <v>3.5856159999999999</v>
      </c>
      <c r="F26" s="94">
        <v>4.0087650000000004</v>
      </c>
      <c r="G26" s="72">
        <f t="shared" ref="G26:G30" si="4">ROUND(E26/F$31*100,1)</f>
        <v>89.5</v>
      </c>
      <c r="H26" s="94">
        <v>8.4014760000000006</v>
      </c>
      <c r="I26" s="94">
        <v>9.8458089999999991</v>
      </c>
      <c r="J26" s="72">
        <f t="shared" ref="J26:J30" si="5">ROUND(H26/I$31*100,1)</f>
        <v>87.1</v>
      </c>
    </row>
    <row r="27" spans="1:10" ht="15.75" customHeight="1">
      <c r="A27" s="25">
        <v>3</v>
      </c>
      <c r="B27" s="94">
        <v>3.7483000000000002E-2</v>
      </c>
      <c r="C27" s="94">
        <v>4.1951000000000002E-2</v>
      </c>
      <c r="D27" s="72">
        <f t="shared" si="3"/>
        <v>87.1</v>
      </c>
      <c r="E27" s="94">
        <v>3.5881729999999998</v>
      </c>
      <c r="F27" s="94">
        <v>4.0162620000000002</v>
      </c>
      <c r="G27" s="72">
        <f t="shared" si="4"/>
        <v>89.5</v>
      </c>
      <c r="H27" s="94">
        <v>8.5644329999999993</v>
      </c>
      <c r="I27" s="94">
        <v>9.4363360000000007</v>
      </c>
      <c r="J27" s="72">
        <f t="shared" si="5"/>
        <v>88.8</v>
      </c>
    </row>
    <row r="28" spans="1:10" ht="15.75" customHeight="1">
      <c r="A28" s="25">
        <v>4</v>
      </c>
      <c r="B28" s="94">
        <v>3.8684999999999997E-2</v>
      </c>
      <c r="C28" s="94">
        <v>4.1331E-2</v>
      </c>
      <c r="D28" s="72">
        <f t="shared" si="3"/>
        <v>89.9</v>
      </c>
      <c r="E28" s="94">
        <v>3.5396429999999999</v>
      </c>
      <c r="F28" s="94">
        <v>3.9245730000000001</v>
      </c>
      <c r="G28" s="72">
        <f t="shared" si="4"/>
        <v>88.3</v>
      </c>
      <c r="H28" s="94">
        <v>8.1736520000000006</v>
      </c>
      <c r="I28" s="94">
        <v>9.5509880000000003</v>
      </c>
      <c r="J28" s="72">
        <f t="shared" si="5"/>
        <v>84.7</v>
      </c>
    </row>
    <row r="29" spans="1:10" ht="15.75" customHeight="1">
      <c r="A29" s="25">
        <v>5</v>
      </c>
      <c r="B29" s="94">
        <v>3.7212000000000002E-2</v>
      </c>
      <c r="C29" s="94">
        <v>4.3538E-2</v>
      </c>
      <c r="D29" s="72">
        <f t="shared" si="3"/>
        <v>86.4</v>
      </c>
      <c r="E29" s="94">
        <v>3.4490569999999998</v>
      </c>
      <c r="F29" s="94">
        <v>3.9528720000000002</v>
      </c>
      <c r="G29" s="72">
        <f t="shared" si="4"/>
        <v>86.1</v>
      </c>
      <c r="H29" s="94">
        <v>8.7013920000000002</v>
      </c>
      <c r="I29" s="94">
        <v>9.650874</v>
      </c>
      <c r="J29" s="72">
        <f t="shared" si="5"/>
        <v>90.2</v>
      </c>
    </row>
    <row r="30" spans="1:10" ht="15.75" customHeight="1">
      <c r="A30" s="25">
        <v>6</v>
      </c>
      <c r="B30" s="94">
        <v>3.6746000000000001E-2</v>
      </c>
      <c r="C30" s="94">
        <v>4.4010000000000001E-2</v>
      </c>
      <c r="D30" s="72">
        <f t="shared" si="3"/>
        <v>85.4</v>
      </c>
      <c r="E30" s="94">
        <v>3.4813839999999998</v>
      </c>
      <c r="F30" s="94">
        <v>4.0469600000000003</v>
      </c>
      <c r="G30" s="72">
        <f t="shared" si="4"/>
        <v>86.9</v>
      </c>
      <c r="H30" s="94">
        <v>8.3482760000000003</v>
      </c>
      <c r="I30" s="94">
        <v>9.7439370000000007</v>
      </c>
      <c r="J30" s="72">
        <f t="shared" si="5"/>
        <v>86.5</v>
      </c>
    </row>
    <row r="31" spans="1:10" ht="15.75" customHeight="1">
      <c r="A31" s="25" t="s">
        <v>86</v>
      </c>
      <c r="B31" s="71">
        <f>ROUND(AVERAGEA(B25:B30),6)</f>
        <v>3.7490999999999997E-2</v>
      </c>
      <c r="C31" s="71">
        <f>ROUND(AVERAGEA(C25:C30),6)</f>
        <v>4.3046000000000001E-2</v>
      </c>
      <c r="D31" s="73">
        <f>ROUND(AVERAGE(D25:D30),1)</f>
        <v>87.1</v>
      </c>
      <c r="E31" s="71">
        <f>ROUND(AVERAGEA(E25:E30),6)</f>
        <v>3.528721</v>
      </c>
      <c r="F31" s="71">
        <f>ROUND(AVERAGEA(F25:F30),6)</f>
        <v>4.006996</v>
      </c>
      <c r="G31" s="73">
        <f>ROUND(AVERAGE(G25:G30),1)</f>
        <v>88.1</v>
      </c>
      <c r="H31" s="71">
        <f>ROUND(AVERAGEA(H25:H30),6)</f>
        <v>8.4608129999999999</v>
      </c>
      <c r="I31" s="71">
        <f>ROUND(AVERAGEA(I25:I30),6)</f>
        <v>9.6483799999999995</v>
      </c>
      <c r="J31" s="73">
        <f>ROUND(AVERAGE(J25:J30),1)</f>
        <v>87.7</v>
      </c>
    </row>
    <row r="32" spans="1:10" ht="15.75" customHeight="1">
      <c r="A32" s="25" t="s">
        <v>4</v>
      </c>
      <c r="B32" s="167"/>
      <c r="C32" s="168"/>
      <c r="D32" s="73">
        <f>ROUND(STDEV(D25:D30),1)</f>
        <v>1.7</v>
      </c>
      <c r="E32" s="167"/>
      <c r="F32" s="168"/>
      <c r="G32" s="73">
        <f>ROUND(STDEV(G25:G30),1)</f>
        <v>1.4</v>
      </c>
      <c r="H32" s="167"/>
      <c r="I32" s="168"/>
      <c r="J32" s="73">
        <f>ROUND(STDEV(J25:J30),1)</f>
        <v>2</v>
      </c>
    </row>
    <row r="33" spans="1:21" ht="15.75" customHeight="1">
      <c r="A33" s="25" t="s">
        <v>40</v>
      </c>
      <c r="B33" s="169"/>
      <c r="C33" s="170"/>
      <c r="D33" s="73">
        <f>ROUND(D32/D31*100,1)</f>
        <v>2</v>
      </c>
      <c r="E33" s="169"/>
      <c r="F33" s="170"/>
      <c r="G33" s="73">
        <f>ROUND(G32/G31*100,1)</f>
        <v>1.6</v>
      </c>
      <c r="H33" s="169"/>
      <c r="I33" s="170"/>
      <c r="J33" s="73">
        <f>ROUND(J32/J31*100,1)</f>
        <v>2.2999999999999998</v>
      </c>
    </row>
    <row r="34" spans="1:21" ht="15.75" customHeight="1">
      <c r="A34" s="13" t="s">
        <v>87</v>
      </c>
      <c r="B34" s="162">
        <f>ROUND(AVERAGE(D31,G31,J31),1)</f>
        <v>87.6</v>
      </c>
      <c r="C34" s="163"/>
      <c r="D34" s="163"/>
      <c r="E34" s="163"/>
      <c r="F34" s="163"/>
      <c r="G34" s="163"/>
      <c r="H34" s="163"/>
      <c r="I34" s="163"/>
      <c r="J34" s="163"/>
    </row>
    <row r="35" spans="1:21" ht="15.75" customHeight="1">
      <c r="A35" s="13" t="s">
        <v>88</v>
      </c>
      <c r="B35" s="162">
        <f>ROUND(STDEV(D31,G31,J31)/B34*100,1)</f>
        <v>0.6</v>
      </c>
      <c r="C35" s="163"/>
      <c r="D35" s="163"/>
      <c r="E35" s="163"/>
      <c r="F35" s="163"/>
      <c r="G35" s="163"/>
      <c r="H35" s="163"/>
      <c r="I35" s="163"/>
      <c r="J35" s="163"/>
    </row>
    <row r="36" spans="1:21" ht="15.75" customHeight="1">
      <c r="A36" s="4"/>
      <c r="B36" s="34"/>
      <c r="C36" s="97"/>
      <c r="D36" s="100"/>
      <c r="E36" s="97"/>
      <c r="F36" s="97"/>
      <c r="G36" s="100"/>
      <c r="H36" s="97"/>
      <c r="I36" s="97"/>
      <c r="J36" s="100"/>
    </row>
    <row r="37" spans="1:21" ht="15.75" customHeight="1">
      <c r="A37" s="4"/>
      <c r="B37" s="34"/>
      <c r="C37" s="97"/>
      <c r="D37" s="100"/>
      <c r="E37" s="97"/>
      <c r="F37" s="97"/>
      <c r="G37" s="100"/>
      <c r="H37" s="97"/>
      <c r="I37" s="97"/>
      <c r="J37" s="100"/>
    </row>
    <row r="38" spans="1:21" ht="15.75" customHeight="1">
      <c r="A38" s="113" t="s">
        <v>186</v>
      </c>
    </row>
    <row r="39" spans="1:21" ht="15.75" customHeight="1">
      <c r="A39" s="11" t="s">
        <v>190</v>
      </c>
    </row>
    <row r="40" spans="1:21" ht="15.75" customHeight="1">
      <c r="A40" s="164" t="s">
        <v>165</v>
      </c>
      <c r="B40" s="165"/>
      <c r="C40" s="165"/>
      <c r="D40" s="165"/>
      <c r="E40" s="165"/>
      <c r="F40" s="165"/>
      <c r="G40" s="165"/>
      <c r="H40" s="165"/>
      <c r="I40" s="165"/>
      <c r="J40" s="166"/>
    </row>
    <row r="41" spans="1:21" ht="15.75" customHeight="1">
      <c r="A41" s="171"/>
      <c r="B41" s="175" t="s">
        <v>193</v>
      </c>
      <c r="C41" s="175"/>
      <c r="D41" s="175"/>
      <c r="E41" s="172" t="s">
        <v>2</v>
      </c>
      <c r="F41" s="173"/>
      <c r="G41" s="174"/>
      <c r="H41" s="172" t="s">
        <v>1</v>
      </c>
      <c r="I41" s="173"/>
      <c r="J41" s="174"/>
      <c r="P41" s="129" t="s">
        <v>3</v>
      </c>
      <c r="Q41" s="129"/>
      <c r="R41" s="129" t="s">
        <v>194</v>
      </c>
      <c r="S41" s="129"/>
      <c r="T41" s="129" t="s">
        <v>195</v>
      </c>
      <c r="U41" s="129"/>
    </row>
    <row r="42" spans="1:21" ht="29.45" customHeight="1">
      <c r="A42" s="171"/>
      <c r="B42" s="93" t="s">
        <v>77</v>
      </c>
      <c r="C42" s="71" t="s">
        <v>74</v>
      </c>
      <c r="D42" s="73" t="s">
        <v>43</v>
      </c>
      <c r="E42" s="71" t="s">
        <v>75</v>
      </c>
      <c r="F42" s="71" t="s">
        <v>74</v>
      </c>
      <c r="G42" s="73" t="s">
        <v>43</v>
      </c>
      <c r="H42" s="71" t="s">
        <v>84</v>
      </c>
      <c r="I42" s="71" t="s">
        <v>85</v>
      </c>
      <c r="J42" s="73" t="s">
        <v>43</v>
      </c>
      <c r="P42" s="116" t="s">
        <v>192</v>
      </c>
      <c r="Q42" s="116" t="s">
        <v>191</v>
      </c>
      <c r="R42" s="116" t="s">
        <v>192</v>
      </c>
      <c r="S42" s="116" t="s">
        <v>191</v>
      </c>
      <c r="T42" s="116" t="s">
        <v>192</v>
      </c>
      <c r="U42" s="116" t="s">
        <v>191</v>
      </c>
    </row>
    <row r="43" spans="1:21" ht="15.75" customHeight="1">
      <c r="A43" s="25">
        <v>1</v>
      </c>
      <c r="B43" s="94">
        <v>4.2116000000000001E-2</v>
      </c>
      <c r="C43" s="94">
        <v>4.9792999999999997E-2</v>
      </c>
      <c r="D43" s="72">
        <f>ROUND(B43/C$49*100,1)</f>
        <v>86.5</v>
      </c>
      <c r="E43" s="94">
        <v>3.279725</v>
      </c>
      <c r="F43" s="94">
        <v>5.1385300000000003</v>
      </c>
      <c r="G43" s="72">
        <f>ROUND(E43/F$49*100,1)</f>
        <v>64.599999999999994</v>
      </c>
      <c r="H43" s="94">
        <v>7.471571</v>
      </c>
      <c r="I43" s="94">
        <v>12.052406</v>
      </c>
      <c r="J43" s="72">
        <f>ROUND(H43/I$49*100,1)</f>
        <v>60</v>
      </c>
      <c r="P43" s="115">
        <v>19968</v>
      </c>
      <c r="Q43" s="115">
        <v>20785</v>
      </c>
      <c r="R43" s="115">
        <v>1539270</v>
      </c>
      <c r="S43" s="115">
        <v>1956451</v>
      </c>
      <c r="T43" s="115">
        <v>3385197</v>
      </c>
      <c r="U43" s="115">
        <v>4496348</v>
      </c>
    </row>
    <row r="44" spans="1:21" ht="15.75" customHeight="1">
      <c r="A44" s="25">
        <v>2</v>
      </c>
      <c r="B44" s="94">
        <v>3.9990999999999999E-2</v>
      </c>
      <c r="C44" s="94">
        <v>4.8261999999999999E-2</v>
      </c>
      <c r="D44" s="72">
        <f t="shared" ref="D44:D48" si="6">ROUND(B44/C$49*100,1)</f>
        <v>82.2</v>
      </c>
      <c r="E44" s="94">
        <v>3.3042829999999999</v>
      </c>
      <c r="F44" s="94">
        <v>5.2930529999999996</v>
      </c>
      <c r="G44" s="72">
        <f t="shared" ref="G44:G48" si="7">ROUND(E44/F$49*100,1)</f>
        <v>65</v>
      </c>
      <c r="H44" s="94">
        <v>7.57707</v>
      </c>
      <c r="I44" s="94">
        <v>12.507269000000001</v>
      </c>
      <c r="J44" s="72">
        <f t="shared" ref="J44:J48" si="8">ROUND(H44/I$49*100,1)</f>
        <v>60.8</v>
      </c>
      <c r="P44" s="115">
        <v>18623</v>
      </c>
      <c r="Q44" s="115">
        <v>20634</v>
      </c>
      <c r="R44" s="115">
        <v>1538365</v>
      </c>
      <c r="S44" s="115">
        <v>1990526</v>
      </c>
      <c r="T44" s="115">
        <v>3385132</v>
      </c>
      <c r="U44" s="115">
        <v>4820369</v>
      </c>
    </row>
    <row r="45" spans="1:21" ht="15.75" customHeight="1">
      <c r="A45" s="25">
        <v>3</v>
      </c>
      <c r="B45" s="94">
        <v>4.0229000000000001E-2</v>
      </c>
      <c r="C45" s="94">
        <v>4.8111000000000001E-2</v>
      </c>
      <c r="D45" s="72">
        <f t="shared" si="6"/>
        <v>82.7</v>
      </c>
      <c r="E45" s="94">
        <v>3.0873970000000002</v>
      </c>
      <c r="F45" s="94">
        <v>4.9582810000000004</v>
      </c>
      <c r="G45" s="72">
        <f t="shared" si="7"/>
        <v>60.8</v>
      </c>
      <c r="H45" s="94">
        <v>7.3730279999999997</v>
      </c>
      <c r="I45" s="94">
        <v>12.529292999999999</v>
      </c>
      <c r="J45" s="72">
        <f t="shared" si="8"/>
        <v>59.2</v>
      </c>
      <c r="P45" s="115">
        <v>19281</v>
      </c>
      <c r="Q45" s="115">
        <v>20831</v>
      </c>
      <c r="R45" s="115">
        <v>1469700</v>
      </c>
      <c r="S45" s="115">
        <v>2080864</v>
      </c>
      <c r="T45" s="115">
        <v>3500780</v>
      </c>
      <c r="U45" s="115">
        <v>4749579</v>
      </c>
    </row>
    <row r="46" spans="1:21" ht="15.75" customHeight="1">
      <c r="A46" s="25">
        <v>4</v>
      </c>
      <c r="B46" s="94">
        <v>3.9446000000000002E-2</v>
      </c>
      <c r="C46" s="94">
        <v>4.9075000000000001E-2</v>
      </c>
      <c r="D46" s="72">
        <f t="shared" si="6"/>
        <v>81.099999999999994</v>
      </c>
      <c r="E46" s="94">
        <v>3.072397</v>
      </c>
      <c r="F46" s="94">
        <v>4.9551429999999996</v>
      </c>
      <c r="G46" s="72">
        <f t="shared" si="7"/>
        <v>60.5</v>
      </c>
      <c r="H46" s="94">
        <v>7.9318720000000003</v>
      </c>
      <c r="I46" s="94">
        <v>13.019999</v>
      </c>
      <c r="J46" s="72">
        <f t="shared" si="8"/>
        <v>63.7</v>
      </c>
      <c r="P46" s="115">
        <v>18300</v>
      </c>
      <c r="Q46" s="115">
        <v>21638</v>
      </c>
      <c r="R46" s="115">
        <v>1425494</v>
      </c>
      <c r="S46" s="115">
        <v>1951495</v>
      </c>
      <c r="T46" s="115">
        <v>3646131</v>
      </c>
      <c r="U46" s="115">
        <v>4899110</v>
      </c>
    </row>
    <row r="47" spans="1:21" ht="15.75" customHeight="1">
      <c r="A47" s="25">
        <v>5</v>
      </c>
      <c r="B47" s="94">
        <v>3.9461000000000003E-2</v>
      </c>
      <c r="C47" s="94">
        <v>4.8482999999999998E-2</v>
      </c>
      <c r="D47" s="72">
        <f t="shared" si="6"/>
        <v>81.099999999999994</v>
      </c>
      <c r="E47" s="94">
        <v>3.308656</v>
      </c>
      <c r="F47" s="94">
        <v>5.0335429999999999</v>
      </c>
      <c r="G47" s="72">
        <f t="shared" si="7"/>
        <v>65.099999999999994</v>
      </c>
      <c r="H47" s="94">
        <v>6.339664</v>
      </c>
      <c r="I47" s="94">
        <v>12.464964999999999</v>
      </c>
      <c r="J47" s="72">
        <f t="shared" si="8"/>
        <v>50.9</v>
      </c>
      <c r="P47" s="115">
        <v>18480</v>
      </c>
      <c r="Q47" s="115">
        <v>21774</v>
      </c>
      <c r="R47" s="115">
        <v>1563138</v>
      </c>
      <c r="S47" s="115">
        <v>1905221</v>
      </c>
      <c r="T47" s="115">
        <v>3111076</v>
      </c>
      <c r="U47" s="115">
        <v>4814817</v>
      </c>
    </row>
    <row r="48" spans="1:21" ht="15.75" customHeight="1">
      <c r="A48" s="25">
        <v>6</v>
      </c>
      <c r="B48" s="94">
        <v>3.7808000000000001E-2</v>
      </c>
      <c r="C48" s="94">
        <v>4.8249E-2</v>
      </c>
      <c r="D48" s="72">
        <f t="shared" si="6"/>
        <v>77.7</v>
      </c>
      <c r="E48" s="94">
        <v>3.196164</v>
      </c>
      <c r="F48" s="94">
        <v>5.1004849999999999</v>
      </c>
      <c r="G48" s="72">
        <f t="shared" si="7"/>
        <v>62.9</v>
      </c>
      <c r="H48" s="94">
        <v>7.9828169999999998</v>
      </c>
      <c r="I48" s="94">
        <v>12.157454</v>
      </c>
      <c r="J48" s="72">
        <f t="shared" si="8"/>
        <v>64.099999999999994</v>
      </c>
      <c r="P48" s="115">
        <v>17198</v>
      </c>
      <c r="Q48" s="115">
        <v>21891</v>
      </c>
      <c r="R48" s="115">
        <v>1480265</v>
      </c>
      <c r="S48" s="115">
        <v>1917588</v>
      </c>
      <c r="T48" s="115">
        <v>3608808</v>
      </c>
      <c r="U48" s="115">
        <v>5065643</v>
      </c>
    </row>
    <row r="49" spans="1:21" ht="15.75" customHeight="1">
      <c r="A49" s="25" t="s">
        <v>86</v>
      </c>
      <c r="B49" s="71">
        <f>ROUND(AVERAGEA(B43:B48),6)</f>
        <v>3.9842000000000002E-2</v>
      </c>
      <c r="C49" s="71">
        <f>ROUND(AVERAGEA(C43:C48),6)</f>
        <v>4.8661999999999997E-2</v>
      </c>
      <c r="D49" s="73">
        <f>ROUND(AVERAGE(D43:D48),1)</f>
        <v>81.900000000000006</v>
      </c>
      <c r="E49" s="71">
        <f>ROUND(AVERAGEA(E43:E48),6)</f>
        <v>3.2081040000000001</v>
      </c>
      <c r="F49" s="71">
        <f>ROUND(AVERAGEA(F43:F48),6)</f>
        <v>5.0798389999999998</v>
      </c>
      <c r="G49" s="73">
        <f>ROUND(AVERAGE(G43:G48),1)</f>
        <v>63.2</v>
      </c>
      <c r="H49" s="71">
        <f>ROUND(AVERAGEA(H43:H48),6)</f>
        <v>7.4460040000000003</v>
      </c>
      <c r="I49" s="71">
        <f>ROUND(AVERAGEA(I43:I48),6)</f>
        <v>12.455230999999999</v>
      </c>
      <c r="J49" s="73">
        <f>ROUND(AVERAGE(J43:J48),1)</f>
        <v>59.8</v>
      </c>
      <c r="P49" s="114">
        <f>ROUND(AVERAGEA(P43:P48),0)</f>
        <v>18642</v>
      </c>
      <c r="Q49" s="114">
        <f t="shared" ref="Q49:U49" si="9">ROUND(AVERAGEA(Q43:Q48),0)</f>
        <v>21259</v>
      </c>
      <c r="R49" s="114">
        <f t="shared" si="9"/>
        <v>1502705</v>
      </c>
      <c r="S49" s="114">
        <f t="shared" si="9"/>
        <v>1967024</v>
      </c>
      <c r="T49" s="114">
        <f t="shared" si="9"/>
        <v>3439521</v>
      </c>
      <c r="U49" s="114">
        <f t="shared" si="9"/>
        <v>4807644</v>
      </c>
    </row>
    <row r="50" spans="1:21" ht="15.75" customHeight="1">
      <c r="A50" s="25" t="s">
        <v>4</v>
      </c>
      <c r="B50" s="167"/>
      <c r="C50" s="168"/>
      <c r="D50" s="73">
        <f>ROUND(STDEV(D43:D48),1)</f>
        <v>2.9</v>
      </c>
      <c r="E50" s="167"/>
      <c r="F50" s="168"/>
      <c r="G50" s="73">
        <f>ROUND(STDEV(G43:G48),1)</f>
        <v>2.1</v>
      </c>
      <c r="H50" s="167"/>
      <c r="I50" s="168"/>
      <c r="J50" s="73">
        <f>ROUND(STDEV(J43:J48),1)</f>
        <v>4.8</v>
      </c>
      <c r="O50" s="25" t="s">
        <v>4</v>
      </c>
      <c r="P50" s="73">
        <f t="shared" ref="P50:U50" si="10">ROUND(STDEV(P43:P48),1)</f>
        <v>937.6</v>
      </c>
      <c r="Q50" s="73">
        <f t="shared" si="10"/>
        <v>566.9</v>
      </c>
      <c r="R50" s="73">
        <f t="shared" si="10"/>
        <v>52564.6</v>
      </c>
      <c r="S50" s="73">
        <f t="shared" si="10"/>
        <v>63448.2</v>
      </c>
      <c r="T50" s="73">
        <f t="shared" si="10"/>
        <v>194362.5</v>
      </c>
      <c r="U50" s="73">
        <f t="shared" si="10"/>
        <v>187307</v>
      </c>
    </row>
    <row r="51" spans="1:21" ht="15.75" customHeight="1">
      <c r="A51" s="25" t="s">
        <v>40</v>
      </c>
      <c r="B51" s="169"/>
      <c r="C51" s="170"/>
      <c r="D51" s="73">
        <f>ROUND(D50/D49*100,1)</f>
        <v>3.5</v>
      </c>
      <c r="E51" s="169"/>
      <c r="F51" s="170"/>
      <c r="G51" s="73">
        <f>ROUND(G50/G49*100,1)</f>
        <v>3.3</v>
      </c>
      <c r="H51" s="169"/>
      <c r="I51" s="170"/>
      <c r="J51" s="73">
        <f>ROUND(J50/J49*100,1)</f>
        <v>8</v>
      </c>
      <c r="O51" s="25" t="s">
        <v>40</v>
      </c>
      <c r="P51" s="73">
        <f t="shared" ref="P51:U51" si="11">ROUND(P50/P49*100,1)</f>
        <v>5</v>
      </c>
      <c r="Q51" s="73">
        <f t="shared" si="11"/>
        <v>2.7</v>
      </c>
      <c r="R51" s="73">
        <f t="shared" si="11"/>
        <v>3.5</v>
      </c>
      <c r="S51" s="73">
        <f t="shared" si="11"/>
        <v>3.2</v>
      </c>
      <c r="T51" s="73">
        <f t="shared" si="11"/>
        <v>5.7</v>
      </c>
      <c r="U51" s="73">
        <f t="shared" si="11"/>
        <v>3.9</v>
      </c>
    </row>
    <row r="52" spans="1:21" ht="15.75" customHeight="1">
      <c r="A52" s="13" t="s">
        <v>87</v>
      </c>
      <c r="B52" s="162">
        <f>ROUND(AVERAGE(D49,G49,J49),1)</f>
        <v>68.3</v>
      </c>
      <c r="C52" s="163"/>
      <c r="D52" s="163"/>
      <c r="E52" s="163"/>
      <c r="F52" s="163"/>
      <c r="G52" s="163"/>
      <c r="H52" s="163"/>
      <c r="I52" s="163"/>
      <c r="J52" s="163"/>
      <c r="O52" s="9" t="s">
        <v>196</v>
      </c>
      <c r="P52" s="161">
        <f>P49/Q49</f>
        <v>0.87689919563479002</v>
      </c>
      <c r="Q52" s="161"/>
      <c r="R52" s="161">
        <f>R49/S49</f>
        <v>0.76394848258079207</v>
      </c>
      <c r="S52" s="161"/>
      <c r="T52" s="161">
        <f>T49/U49</f>
        <v>0.71542755661608892</v>
      </c>
      <c r="U52" s="161"/>
    </row>
    <row r="53" spans="1:21" ht="15.75" customHeight="1">
      <c r="A53" s="85" t="s">
        <v>88</v>
      </c>
      <c r="B53" s="162">
        <f>ROUND(STDEV(D49,G49,J49)/B52*100,1)</f>
        <v>17.399999999999999</v>
      </c>
      <c r="C53" s="163"/>
      <c r="D53" s="163"/>
      <c r="E53" s="163"/>
      <c r="F53" s="163"/>
      <c r="G53" s="163"/>
      <c r="H53" s="163"/>
      <c r="I53" s="163"/>
      <c r="J53" s="163"/>
    </row>
    <row r="54" spans="1:21" ht="15.75" customHeight="1">
      <c r="B54" s="95"/>
      <c r="C54" s="96"/>
      <c r="D54" s="99"/>
      <c r="E54" s="96"/>
      <c r="F54" s="96"/>
      <c r="G54" s="99"/>
    </row>
    <row r="55" spans="1:21" ht="15.75" customHeight="1">
      <c r="A55" s="11" t="s">
        <v>128</v>
      </c>
    </row>
    <row r="56" spans="1:21" ht="15.75" customHeight="1">
      <c r="A56" s="164" t="s">
        <v>165</v>
      </c>
      <c r="B56" s="165"/>
      <c r="C56" s="165"/>
      <c r="D56" s="165"/>
      <c r="E56" s="165"/>
      <c r="F56" s="165"/>
      <c r="G56" s="165"/>
      <c r="H56" s="165"/>
      <c r="I56" s="165"/>
      <c r="J56" s="166"/>
    </row>
    <row r="57" spans="1:21" ht="15.75" customHeight="1">
      <c r="A57" s="171"/>
      <c r="B57" s="175" t="s">
        <v>3</v>
      </c>
      <c r="C57" s="175"/>
      <c r="D57" s="175"/>
      <c r="E57" s="172" t="s">
        <v>2</v>
      </c>
      <c r="F57" s="173"/>
      <c r="G57" s="174"/>
      <c r="H57" s="172" t="s">
        <v>1</v>
      </c>
      <c r="I57" s="173"/>
      <c r="J57" s="174"/>
      <c r="P57" s="129" t="s">
        <v>3</v>
      </c>
      <c r="Q57" s="129"/>
      <c r="R57" s="129" t="s">
        <v>194</v>
      </c>
      <c r="S57" s="129"/>
      <c r="T57" s="129" t="s">
        <v>195</v>
      </c>
      <c r="U57" s="129"/>
    </row>
    <row r="58" spans="1:21" ht="29.45" customHeight="1">
      <c r="A58" s="171"/>
      <c r="B58" s="93" t="s">
        <v>77</v>
      </c>
      <c r="C58" s="71" t="s">
        <v>74</v>
      </c>
      <c r="D58" s="73" t="s">
        <v>43</v>
      </c>
      <c r="E58" s="71" t="s">
        <v>75</v>
      </c>
      <c r="F58" s="71" t="s">
        <v>74</v>
      </c>
      <c r="G58" s="73" t="s">
        <v>43</v>
      </c>
      <c r="H58" s="71" t="s">
        <v>84</v>
      </c>
      <c r="I58" s="71" t="s">
        <v>85</v>
      </c>
      <c r="J58" s="73" t="s">
        <v>43</v>
      </c>
      <c r="P58" s="116" t="s">
        <v>192</v>
      </c>
      <c r="Q58" s="116" t="s">
        <v>191</v>
      </c>
      <c r="R58" s="116" t="s">
        <v>192</v>
      </c>
      <c r="S58" s="116" t="s">
        <v>191</v>
      </c>
      <c r="T58" s="116" t="s">
        <v>192</v>
      </c>
      <c r="U58" s="116" t="s">
        <v>191</v>
      </c>
    </row>
    <row r="59" spans="1:21" ht="15.75" customHeight="1">
      <c r="A59" s="25">
        <v>1</v>
      </c>
      <c r="B59" s="94">
        <v>2.7607E-2</v>
      </c>
      <c r="C59" s="94">
        <v>4.7473000000000001E-2</v>
      </c>
      <c r="D59" s="72">
        <f>ROUND(B59/C$65*100,1)</f>
        <v>55.8</v>
      </c>
      <c r="E59" s="94">
        <v>2.696132</v>
      </c>
      <c r="F59" s="94">
        <v>4.9752159999999996</v>
      </c>
      <c r="G59" s="72">
        <f>ROUND(E59/F$65*100,1)</f>
        <v>57.8</v>
      </c>
      <c r="H59" s="94">
        <v>6.0981579999999997</v>
      </c>
      <c r="I59" s="94">
        <v>11.318325</v>
      </c>
      <c r="J59" s="72">
        <f>ROUND(H59/I$65*100,1)</f>
        <v>53.7</v>
      </c>
      <c r="P59" s="115">
        <v>13089</v>
      </c>
      <c r="Q59" s="115">
        <v>14717</v>
      </c>
      <c r="R59" s="115">
        <v>1265373</v>
      </c>
      <c r="S59" s="115">
        <v>1346294</v>
      </c>
      <c r="T59" s="115">
        <v>2762935</v>
      </c>
      <c r="U59" s="115">
        <v>3233209</v>
      </c>
    </row>
    <row r="60" spans="1:21" ht="15.75" customHeight="1">
      <c r="A60" s="25">
        <v>2</v>
      </c>
      <c r="B60" s="94">
        <v>2.7858000000000001E-2</v>
      </c>
      <c r="C60" s="94">
        <v>4.8106000000000003E-2</v>
      </c>
      <c r="D60" s="72">
        <f t="shared" ref="D60:D64" si="12">ROUND(B60/C$65*100,1)</f>
        <v>56.4</v>
      </c>
      <c r="E60" s="94">
        <v>2.5845799999999999</v>
      </c>
      <c r="F60" s="94">
        <v>4.6616169999999997</v>
      </c>
      <c r="G60" s="72">
        <f t="shared" ref="G60:G64" si="13">ROUND(E60/F$65*100,1)</f>
        <v>55.4</v>
      </c>
      <c r="H60" s="94">
        <v>6.3276430000000001</v>
      </c>
      <c r="I60" s="94">
        <v>11.217237000000001</v>
      </c>
      <c r="J60" s="72">
        <f t="shared" ref="J60:J64" si="14">ROUND(H60/I$65*100,1)</f>
        <v>55.7</v>
      </c>
      <c r="P60" s="115">
        <v>12973</v>
      </c>
      <c r="Q60" s="115">
        <v>15742</v>
      </c>
      <c r="R60" s="115">
        <v>1203295</v>
      </c>
      <c r="S60" s="115">
        <v>1337589</v>
      </c>
      <c r="T60" s="115">
        <v>2826938</v>
      </c>
      <c r="U60" s="115">
        <v>3385978</v>
      </c>
    </row>
    <row r="61" spans="1:21" ht="15.75" customHeight="1">
      <c r="A61" s="25">
        <v>3</v>
      </c>
      <c r="B61" s="94">
        <v>2.7623000000000002E-2</v>
      </c>
      <c r="C61" s="94">
        <v>4.9008000000000003E-2</v>
      </c>
      <c r="D61" s="72">
        <f t="shared" si="12"/>
        <v>55.9</v>
      </c>
      <c r="E61" s="94">
        <v>2.2669190000000001</v>
      </c>
      <c r="F61" s="94">
        <v>4.5403919999999998</v>
      </c>
      <c r="G61" s="72">
        <f t="shared" si="13"/>
        <v>48.6</v>
      </c>
      <c r="H61" s="94">
        <v>5.8971710000000002</v>
      </c>
      <c r="I61" s="94">
        <v>11.620628</v>
      </c>
      <c r="J61" s="72">
        <f t="shared" si="14"/>
        <v>51.9</v>
      </c>
      <c r="P61" s="115">
        <v>13239</v>
      </c>
      <c r="Q61" s="115">
        <v>15787</v>
      </c>
      <c r="R61" s="115">
        <v>1079126</v>
      </c>
      <c r="S61" s="115">
        <v>1421966</v>
      </c>
      <c r="T61" s="115">
        <v>2800030</v>
      </c>
      <c r="U61" s="115">
        <v>3242303</v>
      </c>
    </row>
    <row r="62" spans="1:21" ht="15.75" customHeight="1">
      <c r="A62" s="25">
        <v>4</v>
      </c>
      <c r="B62" s="94">
        <v>2.9735000000000001E-2</v>
      </c>
      <c r="C62" s="94">
        <v>5.3567999999999998E-2</v>
      </c>
      <c r="D62" s="72">
        <f t="shared" si="12"/>
        <v>60.1</v>
      </c>
      <c r="E62" s="94">
        <v>2.3698570000000001</v>
      </c>
      <c r="F62" s="94">
        <v>4.5646050000000002</v>
      </c>
      <c r="G62" s="72">
        <f t="shared" si="13"/>
        <v>50.8</v>
      </c>
      <c r="H62" s="94">
        <v>6.2327110000000001</v>
      </c>
      <c r="I62" s="94">
        <v>11.308090999999999</v>
      </c>
      <c r="J62" s="72">
        <f t="shared" si="14"/>
        <v>54.9</v>
      </c>
      <c r="P62" s="115">
        <v>13795</v>
      </c>
      <c r="Q62" s="115">
        <v>15679</v>
      </c>
      <c r="R62" s="115">
        <v>1099538</v>
      </c>
      <c r="S62" s="115">
        <v>1425458</v>
      </c>
      <c r="T62" s="115">
        <v>2865059</v>
      </c>
      <c r="U62" s="115">
        <v>3419231</v>
      </c>
    </row>
    <row r="63" spans="1:21" ht="15.75" customHeight="1">
      <c r="A63" s="25">
        <v>5</v>
      </c>
      <c r="B63" s="94">
        <v>2.8236000000000001E-2</v>
      </c>
      <c r="C63" s="94">
        <v>4.8769E-2</v>
      </c>
      <c r="D63" s="72">
        <f t="shared" si="12"/>
        <v>57.1</v>
      </c>
      <c r="E63" s="94">
        <v>2.598913</v>
      </c>
      <c r="F63" s="94">
        <v>4.476343</v>
      </c>
      <c r="G63" s="72">
        <f t="shared" si="13"/>
        <v>55.7</v>
      </c>
      <c r="H63" s="94">
        <v>4.8823549999999996</v>
      </c>
      <c r="I63" s="94">
        <v>11.10826</v>
      </c>
      <c r="J63" s="72">
        <f t="shared" si="14"/>
        <v>43</v>
      </c>
      <c r="P63" s="115">
        <v>13223</v>
      </c>
      <c r="Q63" s="115">
        <v>15376</v>
      </c>
      <c r="R63" s="115">
        <v>1227828</v>
      </c>
      <c r="S63" s="115">
        <v>1361916</v>
      </c>
      <c r="T63" s="115">
        <v>2395928</v>
      </c>
      <c r="U63" s="115">
        <v>3478908</v>
      </c>
    </row>
    <row r="64" spans="1:21" ht="15.75" customHeight="1">
      <c r="A64" s="25">
        <v>6</v>
      </c>
      <c r="B64" s="94">
        <v>2.6422000000000001E-2</v>
      </c>
      <c r="C64" s="94">
        <v>4.9690999999999999E-2</v>
      </c>
      <c r="D64" s="72">
        <f t="shared" si="12"/>
        <v>53.4</v>
      </c>
      <c r="E64" s="94">
        <v>2.4828779999999999</v>
      </c>
      <c r="F64" s="94">
        <v>4.7821829999999999</v>
      </c>
      <c r="G64" s="72">
        <f t="shared" si="13"/>
        <v>53.2</v>
      </c>
      <c r="H64" s="94">
        <v>6.7725030000000004</v>
      </c>
      <c r="I64" s="94">
        <v>11.569966000000001</v>
      </c>
      <c r="J64" s="72">
        <f t="shared" si="14"/>
        <v>59.6</v>
      </c>
      <c r="P64" s="115">
        <v>12019</v>
      </c>
      <c r="Q64" s="115">
        <v>16542</v>
      </c>
      <c r="R64" s="115">
        <v>1149915</v>
      </c>
      <c r="S64" s="115">
        <v>1357650</v>
      </c>
      <c r="T64" s="115">
        <v>3061659</v>
      </c>
      <c r="U64" s="115">
        <v>3664897</v>
      </c>
    </row>
    <row r="65" spans="1:21" ht="15.75" customHeight="1">
      <c r="A65" s="25" t="s">
        <v>86</v>
      </c>
      <c r="B65" s="71">
        <f>ROUND(AVERAGEA(B59:B64),6)</f>
        <v>2.7914000000000001E-2</v>
      </c>
      <c r="C65" s="71">
        <f>ROUND(AVERAGEA(C59:C64),6)</f>
        <v>4.9436000000000001E-2</v>
      </c>
      <c r="D65" s="73">
        <f>ROUND(AVERAGE(D59:D64),1)</f>
        <v>56.5</v>
      </c>
      <c r="E65" s="71">
        <f>ROUND(AVERAGEA(E59:E64),6)</f>
        <v>2.4998800000000001</v>
      </c>
      <c r="F65" s="71">
        <f>ROUND(AVERAGEA(F59:F64),6)</f>
        <v>4.6667259999999997</v>
      </c>
      <c r="G65" s="73">
        <f>ROUND(AVERAGE(G59:G64),1)</f>
        <v>53.6</v>
      </c>
      <c r="H65" s="71">
        <f>ROUND(AVERAGEA(H59:H64),6)</f>
        <v>6.0350900000000003</v>
      </c>
      <c r="I65" s="71">
        <f>ROUND(AVERAGEA(I59:I64),6)</f>
        <v>11.357085</v>
      </c>
      <c r="J65" s="73">
        <f>ROUND(AVERAGE(J59:J64),1)</f>
        <v>53.1</v>
      </c>
      <c r="P65" s="114">
        <f>ROUND(AVERAGEA(P59:P64),0)</f>
        <v>13056</v>
      </c>
      <c r="Q65" s="114">
        <f t="shared" ref="Q65" si="15">ROUND(AVERAGEA(Q59:Q64),0)</f>
        <v>15641</v>
      </c>
      <c r="R65" s="114">
        <f t="shared" ref="R65" si="16">ROUND(AVERAGEA(R59:R64),0)</f>
        <v>1170846</v>
      </c>
      <c r="S65" s="114">
        <f t="shared" ref="S65" si="17">ROUND(AVERAGEA(S59:S64),0)</f>
        <v>1375146</v>
      </c>
      <c r="T65" s="114">
        <f t="shared" ref="T65" si="18">ROUND(AVERAGEA(T59:T64),0)</f>
        <v>2785425</v>
      </c>
      <c r="U65" s="114">
        <f t="shared" ref="U65" si="19">ROUND(AVERAGEA(U59:U64),0)</f>
        <v>3404088</v>
      </c>
    </row>
    <row r="66" spans="1:21" ht="15.75" customHeight="1">
      <c r="A66" s="25" t="s">
        <v>4</v>
      </c>
      <c r="B66" s="167"/>
      <c r="C66" s="168"/>
      <c r="D66" s="73">
        <f>ROUND(STDEV(D59:D64),1)</f>
        <v>2.2000000000000002</v>
      </c>
      <c r="E66" s="167"/>
      <c r="F66" s="168"/>
      <c r="G66" s="73">
        <f>ROUND(STDEV(G59:G64),1)</f>
        <v>3.4</v>
      </c>
      <c r="H66" s="167"/>
      <c r="I66" s="168"/>
      <c r="J66" s="73">
        <f>ROUND(STDEV(J59:J64),1)</f>
        <v>5.6</v>
      </c>
      <c r="O66" s="25" t="s">
        <v>4</v>
      </c>
      <c r="P66" s="73">
        <f t="shared" ref="P66:U66" si="20">ROUND(STDEV(P59:P64),1)</f>
        <v>581.5</v>
      </c>
      <c r="Q66" s="73">
        <f t="shared" si="20"/>
        <v>594.79999999999995</v>
      </c>
      <c r="R66" s="73">
        <f t="shared" si="20"/>
        <v>73716.7</v>
      </c>
      <c r="S66" s="73">
        <f t="shared" si="20"/>
        <v>38594.1</v>
      </c>
      <c r="T66" s="73">
        <f t="shared" si="20"/>
        <v>217622.2</v>
      </c>
      <c r="U66" s="73">
        <f t="shared" si="20"/>
        <v>160966.29999999999</v>
      </c>
    </row>
    <row r="67" spans="1:21" ht="15.75" customHeight="1">
      <c r="A67" s="25" t="s">
        <v>40</v>
      </c>
      <c r="B67" s="169"/>
      <c r="C67" s="170"/>
      <c r="D67" s="73">
        <f>ROUND(D66/D65*100,1)</f>
        <v>3.9</v>
      </c>
      <c r="E67" s="169"/>
      <c r="F67" s="170"/>
      <c r="G67" s="73">
        <f>ROUND(G66/G65*100,1)</f>
        <v>6.3</v>
      </c>
      <c r="H67" s="169"/>
      <c r="I67" s="170"/>
      <c r="J67" s="73">
        <f>ROUND(J66/J65*100,1)</f>
        <v>10.5</v>
      </c>
      <c r="O67" s="25" t="s">
        <v>40</v>
      </c>
      <c r="P67" s="73">
        <f t="shared" ref="P67:U67" si="21">ROUND(P66/P65*100,1)</f>
        <v>4.5</v>
      </c>
      <c r="Q67" s="73">
        <f t="shared" si="21"/>
        <v>3.8</v>
      </c>
      <c r="R67" s="73">
        <f t="shared" si="21"/>
        <v>6.3</v>
      </c>
      <c r="S67" s="73">
        <f t="shared" si="21"/>
        <v>2.8</v>
      </c>
      <c r="T67" s="73">
        <f t="shared" si="21"/>
        <v>7.8</v>
      </c>
      <c r="U67" s="73">
        <f t="shared" si="21"/>
        <v>4.7</v>
      </c>
    </row>
    <row r="68" spans="1:21" ht="15.75" customHeight="1">
      <c r="A68" s="13" t="s">
        <v>87</v>
      </c>
      <c r="B68" s="162">
        <f>ROUND(AVERAGE(D65,G65,J65),1)</f>
        <v>54.4</v>
      </c>
      <c r="C68" s="163"/>
      <c r="D68" s="163"/>
      <c r="E68" s="163"/>
      <c r="F68" s="163"/>
      <c r="G68" s="163"/>
      <c r="H68" s="163"/>
      <c r="I68" s="163"/>
      <c r="J68" s="163"/>
      <c r="O68" s="9" t="s">
        <v>196</v>
      </c>
      <c r="P68" s="161">
        <f>P65/Q65</f>
        <v>0.83472923726104464</v>
      </c>
      <c r="Q68" s="161"/>
      <c r="R68" s="161">
        <f>R65/S65</f>
        <v>0.85143395683076561</v>
      </c>
      <c r="S68" s="161"/>
      <c r="T68" s="161">
        <f>T65/U65</f>
        <v>0.81825881117056898</v>
      </c>
      <c r="U68" s="161"/>
    </row>
    <row r="69" spans="1:21" ht="15.75" customHeight="1">
      <c r="A69" s="13" t="s">
        <v>88</v>
      </c>
      <c r="B69" s="162">
        <f>ROUND(STDEV(D65,G65,J65)/B68*100,1)</f>
        <v>3.4</v>
      </c>
      <c r="C69" s="163"/>
      <c r="D69" s="163"/>
      <c r="E69" s="163"/>
      <c r="F69" s="163"/>
      <c r="G69" s="163"/>
      <c r="H69" s="163"/>
      <c r="I69" s="163"/>
      <c r="J69" s="163"/>
    </row>
    <row r="75" spans="1:21" ht="15.75" customHeight="1">
      <c r="P75" s="75"/>
      <c r="R75" s="75"/>
      <c r="T75" s="75"/>
    </row>
    <row r="76" spans="1:21" ht="15.75" customHeight="1">
      <c r="P76" s="75"/>
      <c r="R76" s="75"/>
      <c r="T76" s="75"/>
    </row>
    <row r="77" spans="1:21" ht="15.75" customHeight="1">
      <c r="P77" s="75"/>
      <c r="R77" s="75"/>
      <c r="T77" s="75"/>
    </row>
    <row r="78" spans="1:21" ht="15.75" customHeight="1">
      <c r="P78" s="75"/>
      <c r="R78" s="75"/>
      <c r="T78" s="75"/>
    </row>
    <row r="79" spans="1:21" ht="15.75" customHeight="1">
      <c r="P79" s="75"/>
      <c r="R79" s="75"/>
      <c r="T79" s="75"/>
    </row>
    <row r="80" spans="1:21" ht="15.75" customHeight="1">
      <c r="P80" s="75"/>
      <c r="R80" s="75"/>
      <c r="T80" s="75"/>
    </row>
  </sheetData>
  <mergeCells count="52">
    <mergeCell ref="B66:C67"/>
    <mergeCell ref="E66:F67"/>
    <mergeCell ref="H66:I67"/>
    <mergeCell ref="B68:J68"/>
    <mergeCell ref="B69:J69"/>
    <mergeCell ref="A56:J56"/>
    <mergeCell ref="A57:A58"/>
    <mergeCell ref="B57:D57"/>
    <mergeCell ref="E57:G57"/>
    <mergeCell ref="H57:J57"/>
    <mergeCell ref="B50:C51"/>
    <mergeCell ref="E50:F51"/>
    <mergeCell ref="H50:I51"/>
    <mergeCell ref="B52:J52"/>
    <mergeCell ref="B53:J53"/>
    <mergeCell ref="A40:J40"/>
    <mergeCell ref="A41:A42"/>
    <mergeCell ref="B41:D41"/>
    <mergeCell ref="E41:G41"/>
    <mergeCell ref="H41:J41"/>
    <mergeCell ref="B32:C33"/>
    <mergeCell ref="E32:F33"/>
    <mergeCell ref="H32:I33"/>
    <mergeCell ref="B34:J34"/>
    <mergeCell ref="B35:J35"/>
    <mergeCell ref="A22:J22"/>
    <mergeCell ref="A23:A24"/>
    <mergeCell ref="B23:D23"/>
    <mergeCell ref="E23:G23"/>
    <mergeCell ref="H23:J23"/>
    <mergeCell ref="B19:J19"/>
    <mergeCell ref="B18:J18"/>
    <mergeCell ref="A6:J6"/>
    <mergeCell ref="B16:C17"/>
    <mergeCell ref="E16:F17"/>
    <mergeCell ref="H16:I17"/>
    <mergeCell ref="A7:A8"/>
    <mergeCell ref="E7:G7"/>
    <mergeCell ref="H7:J7"/>
    <mergeCell ref="B7:D7"/>
    <mergeCell ref="P41:Q41"/>
    <mergeCell ref="R41:S41"/>
    <mergeCell ref="T41:U41"/>
    <mergeCell ref="P52:Q52"/>
    <mergeCell ref="R52:S52"/>
    <mergeCell ref="T52:U52"/>
    <mergeCell ref="P57:Q57"/>
    <mergeCell ref="R57:S57"/>
    <mergeCell ref="T57:U57"/>
    <mergeCell ref="P68:Q68"/>
    <mergeCell ref="R68:S68"/>
    <mergeCell ref="T68:U68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68" orientation="landscape" r:id="rId1"/>
  <headerFooter>
    <oddHeader>&amp;C18903MV01验证数据汇总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I44"/>
  <sheetViews>
    <sheetView topLeftCell="A4" zoomScaleNormal="100" zoomScaleSheetLayoutView="100" workbookViewId="0">
      <selection activeCell="H27" sqref="H27"/>
    </sheetView>
  </sheetViews>
  <sheetFormatPr defaultColWidth="8.86328125" defaultRowHeight="13.5"/>
  <cols>
    <col min="1" max="1" width="30.46484375" style="11" customWidth="1"/>
    <col min="2" max="3" width="21.59765625" style="11" customWidth="1"/>
    <col min="4" max="4" width="25.86328125" style="11" customWidth="1"/>
    <col min="5" max="5" width="14.86328125" style="11" customWidth="1"/>
    <col min="6" max="6" width="31.265625" style="11" bestFit="1" customWidth="1"/>
    <col min="7" max="8" width="20.46484375" style="11" bestFit="1" customWidth="1"/>
    <col min="9" max="9" width="17.86328125" style="11" bestFit="1" customWidth="1"/>
    <col min="10" max="16384" width="8.86328125" style="11"/>
  </cols>
  <sheetData>
    <row r="2" spans="1:9" ht="15.75" customHeight="1">
      <c r="A2" s="11" t="s">
        <v>27</v>
      </c>
      <c r="E2" s="27"/>
    </row>
    <row r="3" spans="1:9" ht="15.95" customHeight="1">
      <c r="E3" s="27"/>
    </row>
    <row r="4" spans="1:9" ht="15.75" customHeight="1">
      <c r="A4" s="176" t="s">
        <v>189</v>
      </c>
      <c r="B4" s="125"/>
      <c r="C4" s="125"/>
      <c r="D4" s="126"/>
      <c r="E4" s="27"/>
      <c r="F4" s="176" t="s">
        <v>188</v>
      </c>
      <c r="G4" s="125"/>
      <c r="H4" s="125"/>
      <c r="I4" s="126"/>
    </row>
    <row r="5" spans="1:9" ht="15.75" customHeight="1">
      <c r="A5" s="177"/>
      <c r="B5" s="178" t="s">
        <v>174</v>
      </c>
      <c r="C5" s="123"/>
      <c r="D5" s="123"/>
      <c r="E5" s="27"/>
      <c r="F5" s="177"/>
      <c r="G5" s="178" t="s">
        <v>174</v>
      </c>
      <c r="H5" s="123"/>
      <c r="I5" s="123"/>
    </row>
    <row r="6" spans="1:9" ht="15.75" customHeight="1">
      <c r="A6" s="177"/>
      <c r="B6" s="12" t="s">
        <v>89</v>
      </c>
      <c r="C6" s="12" t="s">
        <v>90</v>
      </c>
      <c r="D6" s="12" t="s">
        <v>43</v>
      </c>
      <c r="E6" s="27"/>
      <c r="F6" s="177"/>
      <c r="G6" s="12" t="s">
        <v>89</v>
      </c>
      <c r="H6" s="12" t="s">
        <v>90</v>
      </c>
      <c r="I6" s="12" t="s">
        <v>43</v>
      </c>
    </row>
    <row r="7" spans="1:9" ht="15.75" customHeight="1">
      <c r="A7" s="12">
        <v>1</v>
      </c>
      <c r="B7" s="28">
        <v>0.16644500000000001</v>
      </c>
      <c r="C7" s="28">
        <v>0.18713199999999999</v>
      </c>
      <c r="D7" s="65">
        <f t="shared" ref="D7:D12" si="0">ROUND(B7/C$13*100,1)</f>
        <v>90.2</v>
      </c>
      <c r="E7" s="27"/>
      <c r="F7" s="12">
        <v>1</v>
      </c>
      <c r="G7" s="28">
        <v>0.15911900000000001</v>
      </c>
      <c r="H7" s="28">
        <v>0.194608</v>
      </c>
      <c r="I7" s="65">
        <f t="shared" ref="I7:I12" si="1">ROUND(G7/H$13*100,1)</f>
        <v>80.8</v>
      </c>
    </row>
    <row r="8" spans="1:9" ht="15.75" customHeight="1">
      <c r="A8" s="12">
        <v>2</v>
      </c>
      <c r="B8" s="28">
        <v>0.17485800000000001</v>
      </c>
      <c r="C8" s="28">
        <v>0.186975</v>
      </c>
      <c r="D8" s="65">
        <f t="shared" si="0"/>
        <v>94.7</v>
      </c>
      <c r="E8" s="27"/>
      <c r="F8" s="12">
        <v>2</v>
      </c>
      <c r="G8" s="28">
        <v>0.16713800000000001</v>
      </c>
      <c r="H8" s="28">
        <v>0.18892700000000001</v>
      </c>
      <c r="I8" s="65">
        <f t="shared" si="1"/>
        <v>84.9</v>
      </c>
    </row>
    <row r="9" spans="1:9" ht="15.75" customHeight="1">
      <c r="A9" s="12">
        <v>3</v>
      </c>
      <c r="B9" s="28">
        <v>0.17035700000000001</v>
      </c>
      <c r="C9" s="28">
        <v>0.18227199999999999</v>
      </c>
      <c r="D9" s="65">
        <f t="shared" si="0"/>
        <v>92.3</v>
      </c>
      <c r="E9" s="27"/>
      <c r="F9" s="12">
        <v>3</v>
      </c>
      <c r="G9" s="28">
        <v>0.15865000000000001</v>
      </c>
      <c r="H9" s="28">
        <v>0.201683</v>
      </c>
      <c r="I9" s="65">
        <f t="shared" si="1"/>
        <v>80.5</v>
      </c>
    </row>
    <row r="10" spans="1:9" ht="15.75" customHeight="1">
      <c r="A10" s="12">
        <v>4</v>
      </c>
      <c r="B10" s="28">
        <v>0.16841200000000001</v>
      </c>
      <c r="C10" s="28">
        <v>0.18764400000000001</v>
      </c>
      <c r="D10" s="65">
        <f t="shared" si="0"/>
        <v>91.2</v>
      </c>
      <c r="E10" s="27"/>
      <c r="F10" s="12">
        <v>4</v>
      </c>
      <c r="G10" s="28">
        <v>0.16849800000000001</v>
      </c>
      <c r="H10" s="28">
        <v>0.20181099999999999</v>
      </c>
      <c r="I10" s="65">
        <f t="shared" si="1"/>
        <v>85.5</v>
      </c>
    </row>
    <row r="11" spans="1:9" ht="15.75" customHeight="1">
      <c r="A11" s="12">
        <v>5</v>
      </c>
      <c r="B11" s="28">
        <v>0.17064399999999999</v>
      </c>
      <c r="C11" s="28">
        <v>0.186477</v>
      </c>
      <c r="D11" s="65">
        <f t="shared" si="0"/>
        <v>92.4</v>
      </c>
      <c r="E11" s="27"/>
      <c r="F11" s="12">
        <v>5</v>
      </c>
      <c r="G11" s="28">
        <v>0.16453100000000001</v>
      </c>
      <c r="H11" s="28">
        <v>0.19866700000000001</v>
      </c>
      <c r="I11" s="65">
        <f t="shared" si="1"/>
        <v>83.5</v>
      </c>
    </row>
    <row r="12" spans="1:9" ht="15.75" customHeight="1">
      <c r="A12" s="12">
        <v>6</v>
      </c>
      <c r="B12" s="28">
        <v>0.17460999999999999</v>
      </c>
      <c r="C12" s="28">
        <v>0.17724899999999999</v>
      </c>
      <c r="D12" s="65">
        <f t="shared" si="0"/>
        <v>94.6</v>
      </c>
      <c r="E12" s="27"/>
      <c r="F12" s="12">
        <v>6</v>
      </c>
      <c r="G12" s="28">
        <v>0.15632099999999999</v>
      </c>
      <c r="H12" s="28">
        <v>0.19606000000000001</v>
      </c>
      <c r="I12" s="65">
        <f t="shared" si="1"/>
        <v>79.400000000000006</v>
      </c>
    </row>
    <row r="13" spans="1:9" ht="15.75" customHeight="1">
      <c r="A13" s="12" t="s">
        <v>91</v>
      </c>
      <c r="B13" s="49">
        <f>ROUND(AVERAGE(B7:B12),6)</f>
        <v>0.17088800000000001</v>
      </c>
      <c r="C13" s="49">
        <f>ROUND(AVERAGE(C7:C12),6)</f>
        <v>0.18462500000000001</v>
      </c>
      <c r="D13" s="70">
        <f>ROUND(AVERAGE(D7:D12),1)</f>
        <v>92.6</v>
      </c>
      <c r="E13" s="27"/>
      <c r="F13" s="12" t="s">
        <v>91</v>
      </c>
      <c r="G13" s="49">
        <f>ROUND(AVERAGE(G7:G12),6)</f>
        <v>0.16237599999999999</v>
      </c>
      <c r="H13" s="49">
        <f>ROUND(AVERAGE(H7:H12),6)</f>
        <v>0.196959</v>
      </c>
      <c r="I13" s="70">
        <f>ROUND(AVERAGE(I7:I12),1)</f>
        <v>82.4</v>
      </c>
    </row>
    <row r="14" spans="1:9" ht="15.75" customHeight="1">
      <c r="A14" s="12" t="s">
        <v>4</v>
      </c>
      <c r="B14" s="49">
        <f>ROUND(STDEV(B7:B12),6)</f>
        <v>3.3409999999999998E-3</v>
      </c>
      <c r="C14" s="49">
        <f>ROUND(STDEV(C7:C12),6)</f>
        <v>4.1060000000000003E-3</v>
      </c>
      <c r="D14" s="70">
        <f>ROUND(STDEV(D7:D12),1)</f>
        <v>1.8</v>
      </c>
      <c r="E14" s="27"/>
      <c r="F14" s="12" t="s">
        <v>4</v>
      </c>
      <c r="G14" s="49">
        <f>ROUND(STDEV(G7:G12),6)</f>
        <v>5.019E-3</v>
      </c>
      <c r="H14" s="49">
        <f>ROUND(STDEV(H7:H12),6)</f>
        <v>4.8910000000000004E-3</v>
      </c>
      <c r="I14" s="70">
        <f>ROUND(STDEV(I7:I12),1)</f>
        <v>2.5</v>
      </c>
    </row>
    <row r="15" spans="1:9" ht="15.75" customHeight="1">
      <c r="A15" s="12" t="s">
        <v>40</v>
      </c>
      <c r="B15" s="70">
        <f>ROUND(B14/B13*100,1)</f>
        <v>2</v>
      </c>
      <c r="C15" s="70">
        <f>ROUND(C14/C13*100,1)</f>
        <v>2.2000000000000002</v>
      </c>
      <c r="D15" s="70">
        <f>ROUND(D14/D13*100,1)</f>
        <v>1.9</v>
      </c>
      <c r="E15" s="27"/>
      <c r="F15" s="12" t="s">
        <v>40</v>
      </c>
      <c r="G15" s="70">
        <f>ROUND(G14/G13*100,1)</f>
        <v>3.1</v>
      </c>
      <c r="H15" s="70">
        <f>ROUND(H14/H13*100,1)</f>
        <v>2.5</v>
      </c>
      <c r="I15" s="70">
        <f>ROUND(I14/I13*100,1)</f>
        <v>3</v>
      </c>
    </row>
    <row r="16" spans="1:9">
      <c r="A16" s="21"/>
      <c r="B16" s="21"/>
      <c r="C16" s="21"/>
      <c r="D16" s="26"/>
      <c r="E16" s="27"/>
      <c r="F16" s="21"/>
      <c r="G16" s="21"/>
      <c r="H16" s="21"/>
      <c r="I16" s="26"/>
    </row>
    <row r="17" spans="1:9">
      <c r="E17" s="27"/>
    </row>
    <row r="18" spans="1:9" ht="27">
      <c r="A18" s="13" t="s">
        <v>92</v>
      </c>
      <c r="B18" s="19" t="s">
        <v>169</v>
      </c>
      <c r="C18" s="12" t="s">
        <v>97</v>
      </c>
      <c r="D18" s="29" t="s">
        <v>98</v>
      </c>
      <c r="E18" s="27"/>
      <c r="F18" s="13" t="s">
        <v>92</v>
      </c>
      <c r="G18" s="19" t="s">
        <v>169</v>
      </c>
      <c r="H18" s="12" t="s">
        <v>97</v>
      </c>
      <c r="I18" s="29" t="s">
        <v>98</v>
      </c>
    </row>
    <row r="19" spans="1:9" ht="13.9">
      <c r="A19" t="s">
        <v>133</v>
      </c>
      <c r="B19" s="75">
        <v>3575613</v>
      </c>
      <c r="C19" s="75">
        <v>669111</v>
      </c>
      <c r="D19" s="30">
        <f>ROUND(C19/B19,6)</f>
        <v>0.18713199999999999</v>
      </c>
      <c r="E19" s="27"/>
      <c r="F19" s="44" t="s">
        <v>133</v>
      </c>
      <c r="G19" s="45">
        <v>2394524</v>
      </c>
      <c r="H19" s="45">
        <v>465994</v>
      </c>
      <c r="I19" s="30">
        <f>ROUND(H19/G19,6)</f>
        <v>0.194608</v>
      </c>
    </row>
    <row r="20" spans="1:9" ht="13.9">
      <c r="A20" t="s">
        <v>134</v>
      </c>
      <c r="B20" s="75">
        <v>3617658</v>
      </c>
      <c r="C20" s="75">
        <v>676411</v>
      </c>
      <c r="D20" s="31">
        <f t="shared" ref="D20:D24" si="2">ROUND(C20/B20,6)</f>
        <v>0.186975</v>
      </c>
      <c r="E20" s="27"/>
      <c r="F20" s="46" t="s">
        <v>134</v>
      </c>
      <c r="G20" s="23">
        <v>2444750</v>
      </c>
      <c r="H20" s="23">
        <v>461879</v>
      </c>
      <c r="I20" s="31">
        <f t="shared" ref="I20:I24" si="3">ROUND(H20/G20,6)</f>
        <v>0.18892700000000001</v>
      </c>
    </row>
    <row r="21" spans="1:9" ht="13.9">
      <c r="A21" t="s">
        <v>135</v>
      </c>
      <c r="B21" s="75">
        <v>3819041</v>
      </c>
      <c r="C21" s="75">
        <v>696103</v>
      </c>
      <c r="D21" s="31">
        <f t="shared" si="2"/>
        <v>0.18227199999999999</v>
      </c>
      <c r="E21" s="27"/>
      <c r="F21" s="46" t="s">
        <v>135</v>
      </c>
      <c r="G21" s="23">
        <v>2281816</v>
      </c>
      <c r="H21" s="23">
        <v>460203</v>
      </c>
      <c r="I21" s="31">
        <f t="shared" si="3"/>
        <v>0.201683</v>
      </c>
    </row>
    <row r="22" spans="1:9" ht="13.9">
      <c r="A22" t="s">
        <v>136</v>
      </c>
      <c r="B22" s="75">
        <v>3696378</v>
      </c>
      <c r="C22" s="75">
        <v>693602</v>
      </c>
      <c r="D22" s="31">
        <f t="shared" si="2"/>
        <v>0.18764400000000001</v>
      </c>
      <c r="E22" s="27"/>
      <c r="F22" s="46" t="s">
        <v>136</v>
      </c>
      <c r="G22" s="23">
        <v>2294494</v>
      </c>
      <c r="H22" s="23">
        <v>463053</v>
      </c>
      <c r="I22" s="31">
        <f t="shared" si="3"/>
        <v>0.20181099999999999</v>
      </c>
    </row>
    <row r="23" spans="1:9" ht="13.9">
      <c r="A23" t="s">
        <v>137</v>
      </c>
      <c r="B23" s="75">
        <v>3576509</v>
      </c>
      <c r="C23" s="75">
        <v>666935</v>
      </c>
      <c r="D23" s="31">
        <f t="shared" si="2"/>
        <v>0.186477</v>
      </c>
      <c r="E23" s="27"/>
      <c r="F23" s="46" t="s">
        <v>137</v>
      </c>
      <c r="G23" s="23">
        <v>2358980</v>
      </c>
      <c r="H23" s="23">
        <v>468652</v>
      </c>
      <c r="I23" s="31">
        <f t="shared" si="3"/>
        <v>0.19866700000000001</v>
      </c>
    </row>
    <row r="24" spans="1:9" ht="13.9">
      <c r="A24" t="s">
        <v>138</v>
      </c>
      <c r="B24" s="75">
        <v>3768067</v>
      </c>
      <c r="C24" s="75">
        <v>667885</v>
      </c>
      <c r="D24" s="31">
        <f t="shared" si="2"/>
        <v>0.17724899999999999</v>
      </c>
      <c r="E24" s="27"/>
      <c r="F24" s="46" t="s">
        <v>138</v>
      </c>
      <c r="G24" s="23">
        <v>2366717</v>
      </c>
      <c r="H24" s="23">
        <v>464018</v>
      </c>
      <c r="I24" s="31">
        <f t="shared" si="3"/>
        <v>0.19606000000000001</v>
      </c>
    </row>
    <row r="25" spans="1:9" ht="13.9">
      <c r="A25" t="s">
        <v>139</v>
      </c>
      <c r="B25" s="75">
        <v>3747986</v>
      </c>
      <c r="C25" s="75">
        <v>623834</v>
      </c>
      <c r="D25" s="31">
        <f>ROUND(C25/B25,6)</f>
        <v>0.16644500000000001</v>
      </c>
      <c r="E25" s="27"/>
      <c r="F25" s="46" t="s">
        <v>139</v>
      </c>
      <c r="G25" s="23">
        <v>2314743</v>
      </c>
      <c r="H25" s="23">
        <v>368320</v>
      </c>
      <c r="I25" s="31">
        <f>ROUND(H25/G25,6)</f>
        <v>0.15911900000000001</v>
      </c>
    </row>
    <row r="26" spans="1:9" ht="13.9">
      <c r="A26" t="s">
        <v>140</v>
      </c>
      <c r="B26" s="75">
        <v>3618227</v>
      </c>
      <c r="C26" s="75">
        <v>632675</v>
      </c>
      <c r="D26" s="31">
        <f t="shared" ref="D26:D30" si="4">ROUND(C26/B26,6)</f>
        <v>0.17485800000000001</v>
      </c>
      <c r="E26" s="27"/>
      <c r="F26" s="46" t="s">
        <v>140</v>
      </c>
      <c r="G26" s="23">
        <v>2385061</v>
      </c>
      <c r="H26" s="23">
        <v>398634</v>
      </c>
      <c r="I26" s="31">
        <f t="shared" ref="I26:I30" si="5">ROUND(H26/G26,6)</f>
        <v>0.16713800000000001</v>
      </c>
    </row>
    <row r="27" spans="1:9" ht="13.9">
      <c r="A27" t="s">
        <v>141</v>
      </c>
      <c r="B27" s="75">
        <v>3664371</v>
      </c>
      <c r="C27" s="75">
        <v>624251</v>
      </c>
      <c r="D27" s="31">
        <f t="shared" si="4"/>
        <v>0.17035700000000001</v>
      </c>
      <c r="E27" s="27"/>
      <c r="F27" s="46" t="s">
        <v>141</v>
      </c>
      <c r="G27" s="23">
        <v>2441539</v>
      </c>
      <c r="H27" s="23">
        <v>387351</v>
      </c>
      <c r="I27" s="31">
        <f t="shared" si="5"/>
        <v>0.15865000000000001</v>
      </c>
    </row>
    <row r="28" spans="1:9" ht="13.9">
      <c r="A28" t="s">
        <v>142</v>
      </c>
      <c r="B28" s="75">
        <v>3605307</v>
      </c>
      <c r="C28" s="75">
        <v>607176</v>
      </c>
      <c r="D28" s="31">
        <f t="shared" si="4"/>
        <v>0.16841200000000001</v>
      </c>
      <c r="E28" s="27"/>
      <c r="F28" s="46" t="s">
        <v>142</v>
      </c>
      <c r="G28" s="23">
        <v>2303523</v>
      </c>
      <c r="H28" s="23">
        <v>388139</v>
      </c>
      <c r="I28" s="31">
        <f t="shared" si="5"/>
        <v>0.16849800000000001</v>
      </c>
    </row>
    <row r="29" spans="1:9" ht="13.9">
      <c r="A29" t="s">
        <v>143</v>
      </c>
      <c r="B29" s="75">
        <v>3495521</v>
      </c>
      <c r="C29" s="75">
        <v>596488</v>
      </c>
      <c r="D29" s="31">
        <f t="shared" si="4"/>
        <v>0.17064399999999999</v>
      </c>
      <c r="E29" s="27"/>
      <c r="F29" s="46" t="s">
        <v>143</v>
      </c>
      <c r="G29" s="23">
        <v>2230525</v>
      </c>
      <c r="H29" s="23">
        <v>366991</v>
      </c>
      <c r="I29" s="31">
        <f t="shared" si="5"/>
        <v>0.16453100000000001</v>
      </c>
    </row>
    <row r="30" spans="1:9" ht="13.9">
      <c r="A30" t="s">
        <v>144</v>
      </c>
      <c r="B30" s="75">
        <v>3572744</v>
      </c>
      <c r="C30" s="75">
        <v>623838</v>
      </c>
      <c r="D30" s="32">
        <f t="shared" si="4"/>
        <v>0.17460999999999999</v>
      </c>
      <c r="E30" s="27"/>
      <c r="F30" s="47" t="s">
        <v>144</v>
      </c>
      <c r="G30" s="48">
        <v>2466981</v>
      </c>
      <c r="H30" s="48">
        <v>385640</v>
      </c>
      <c r="I30" s="32">
        <f t="shared" si="5"/>
        <v>0.15632099999999999</v>
      </c>
    </row>
    <row r="31" spans="1:9">
      <c r="A31" s="26"/>
      <c r="B31" s="33"/>
      <c r="C31" s="33"/>
      <c r="D31" s="34"/>
      <c r="E31" s="27"/>
    </row>
    <row r="32" spans="1:9">
      <c r="E32" s="27"/>
    </row>
    <row r="33" spans="5:5">
      <c r="E33" s="27"/>
    </row>
    <row r="34" spans="5:5">
      <c r="E34" s="27"/>
    </row>
    <row r="35" spans="5:5">
      <c r="E35" s="27"/>
    </row>
    <row r="36" spans="5:5">
      <c r="E36" s="27"/>
    </row>
    <row r="37" spans="5:5">
      <c r="E37" s="27"/>
    </row>
    <row r="38" spans="5:5">
      <c r="E38" s="27"/>
    </row>
    <row r="39" spans="5:5">
      <c r="E39" s="27"/>
    </row>
    <row r="40" spans="5:5">
      <c r="E40" s="27"/>
    </row>
    <row r="41" spans="5:5">
      <c r="E41" s="27"/>
    </row>
    <row r="42" spans="5:5">
      <c r="E42" s="27"/>
    </row>
    <row r="43" spans="5:5">
      <c r="E43" s="27"/>
    </row>
    <row r="44" spans="5:5">
      <c r="E44" s="27"/>
    </row>
  </sheetData>
  <mergeCells count="6">
    <mergeCell ref="F4:I4"/>
    <mergeCell ref="F5:F6"/>
    <mergeCell ref="G5:I5"/>
    <mergeCell ref="A4:D4"/>
    <mergeCell ref="A5:A6"/>
    <mergeCell ref="B5:D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E36"/>
  <sheetViews>
    <sheetView zoomScaleNormal="100" zoomScaleSheetLayoutView="100" workbookViewId="0">
      <selection activeCell="G21" sqref="G21"/>
    </sheetView>
  </sheetViews>
  <sheetFormatPr defaultColWidth="8.86328125" defaultRowHeight="13.5"/>
  <cols>
    <col min="1" max="1" width="17" style="2" customWidth="1"/>
    <col min="2" max="2" width="13.86328125" style="11" bestFit="1" customWidth="1"/>
    <col min="3" max="3" width="20" style="2" customWidth="1"/>
    <col min="4" max="4" width="17.59765625" style="2" customWidth="1"/>
    <col min="5" max="16384" width="8.86328125" style="2"/>
  </cols>
  <sheetData>
    <row r="2" spans="1:5">
      <c r="A2" s="118" t="s">
        <v>26</v>
      </c>
      <c r="B2" s="118"/>
      <c r="C2" s="118"/>
      <c r="D2" s="118"/>
    </row>
    <row r="3" spans="1:5">
      <c r="A3" s="50"/>
      <c r="B3" s="50"/>
      <c r="C3" s="50"/>
      <c r="D3" s="50"/>
    </row>
    <row r="4" spans="1:5">
      <c r="A4" s="11" t="s">
        <v>127</v>
      </c>
    </row>
    <row r="5" spans="1:5" ht="15" customHeight="1">
      <c r="A5" s="142" t="s">
        <v>20</v>
      </c>
      <c r="B5" s="142" t="s">
        <v>8</v>
      </c>
      <c r="C5" s="12" t="s">
        <v>93</v>
      </c>
      <c r="D5" s="142" t="s">
        <v>42</v>
      </c>
    </row>
    <row r="6" spans="1:5" ht="15" customHeight="1">
      <c r="A6" s="143"/>
      <c r="B6" s="143"/>
      <c r="C6" s="14">
        <v>23149.026999999998</v>
      </c>
      <c r="D6" s="143"/>
    </row>
    <row r="7" spans="1:5" ht="15" customHeight="1">
      <c r="A7" s="144"/>
      <c r="B7" s="144"/>
      <c r="C7" s="58" t="s">
        <v>158</v>
      </c>
      <c r="D7" s="144"/>
    </row>
    <row r="8" spans="1:5" ht="15" customHeight="1">
      <c r="A8" s="138">
        <v>45905</v>
      </c>
      <c r="B8" s="142">
        <v>4</v>
      </c>
      <c r="C8" s="69">
        <v>20592.044999999998</v>
      </c>
      <c r="D8" s="70">
        <f t="shared" ref="D8:D13" si="0">ROUND((C8-C$6)/C$6*100,1)</f>
        <v>-11</v>
      </c>
      <c r="E8"/>
    </row>
    <row r="9" spans="1:5" ht="15" customHeight="1">
      <c r="A9" s="138"/>
      <c r="B9" s="143"/>
      <c r="C9" s="69">
        <v>22991.811000000002</v>
      </c>
      <c r="D9" s="70">
        <f t="shared" si="0"/>
        <v>-0.7</v>
      </c>
      <c r="E9"/>
    </row>
    <row r="10" spans="1:5" ht="15" customHeight="1">
      <c r="A10" s="138"/>
      <c r="B10" s="143"/>
      <c r="C10" s="69">
        <v>23583.678</v>
      </c>
      <c r="D10" s="70">
        <f t="shared" si="0"/>
        <v>1.9</v>
      </c>
      <c r="E10"/>
    </row>
    <row r="11" spans="1:5" ht="15" customHeight="1">
      <c r="A11" s="138"/>
      <c r="B11" s="143"/>
      <c r="C11" s="69">
        <v>24372.223999999998</v>
      </c>
      <c r="D11" s="70">
        <f t="shared" si="0"/>
        <v>5.3</v>
      </c>
      <c r="E11"/>
    </row>
    <row r="12" spans="1:5" ht="15" customHeight="1">
      <c r="A12" s="138"/>
      <c r="B12" s="143"/>
      <c r="C12" s="69">
        <v>22066.718000000001</v>
      </c>
      <c r="D12" s="70">
        <f t="shared" si="0"/>
        <v>-4.7</v>
      </c>
      <c r="E12"/>
    </row>
    <row r="13" spans="1:5" ht="15" customHeight="1">
      <c r="A13" s="138"/>
      <c r="B13" s="144"/>
      <c r="C13" s="69">
        <v>23915.261999999999</v>
      </c>
      <c r="D13" s="70">
        <f t="shared" si="0"/>
        <v>3.3</v>
      </c>
      <c r="E13"/>
    </row>
    <row r="14" spans="1:5" ht="15" customHeight="1">
      <c r="A14" s="12" t="s">
        <v>91</v>
      </c>
      <c r="B14" s="135"/>
      <c r="C14" s="69">
        <f>ROUND(AVERAGE(C8:C13),3)</f>
        <v>22920.29</v>
      </c>
      <c r="D14" s="135"/>
    </row>
    <row r="15" spans="1:5" ht="15" customHeight="1">
      <c r="A15" s="12" t="s">
        <v>4</v>
      </c>
      <c r="B15" s="136"/>
      <c r="C15" s="69">
        <f>ROUND(STDEV(C8:C13),3)</f>
        <v>1392.307</v>
      </c>
      <c r="D15" s="136"/>
    </row>
    <row r="16" spans="1:5" ht="15" customHeight="1">
      <c r="A16" s="12" t="s">
        <v>40</v>
      </c>
      <c r="B16" s="136"/>
      <c r="C16" s="70">
        <f>ROUND(C15/C14*100,1)</f>
        <v>6.1</v>
      </c>
      <c r="D16" s="136"/>
    </row>
    <row r="17" spans="1:5" ht="15" customHeight="1">
      <c r="A17" s="12" t="s">
        <v>41</v>
      </c>
      <c r="B17" s="136"/>
      <c r="C17" s="70">
        <f>ROUND(C14/C$6*100,1)</f>
        <v>99</v>
      </c>
      <c r="D17" s="136"/>
    </row>
    <row r="18" spans="1:5" ht="15" customHeight="1">
      <c r="A18" s="12" t="s">
        <v>5</v>
      </c>
      <c r="B18" s="137"/>
      <c r="C18" s="12">
        <v>6</v>
      </c>
      <c r="D18" s="137"/>
    </row>
    <row r="19" spans="1:5">
      <c r="A19" s="21"/>
      <c r="B19" s="21"/>
      <c r="C19" s="21"/>
      <c r="D19" s="21"/>
    </row>
    <row r="21" spans="1:5">
      <c r="A21" s="11" t="s">
        <v>128</v>
      </c>
    </row>
    <row r="22" spans="1:5" ht="15" customHeight="1">
      <c r="A22" s="142" t="s">
        <v>20</v>
      </c>
      <c r="B22" s="142" t="s">
        <v>8</v>
      </c>
      <c r="C22" s="12" t="s">
        <v>93</v>
      </c>
      <c r="D22" s="142" t="s">
        <v>42</v>
      </c>
    </row>
    <row r="23" spans="1:5" ht="15" customHeight="1">
      <c r="A23" s="143"/>
      <c r="B23" s="143"/>
      <c r="C23" s="14">
        <v>26850.84</v>
      </c>
      <c r="D23" s="143"/>
    </row>
    <row r="24" spans="1:5" ht="15" customHeight="1">
      <c r="A24" s="144"/>
      <c r="B24" s="144"/>
      <c r="C24" s="58" t="s">
        <v>158</v>
      </c>
      <c r="D24" s="144"/>
    </row>
    <row r="25" spans="1:5" ht="15" customHeight="1">
      <c r="A25" s="138">
        <v>45905</v>
      </c>
      <c r="B25" s="142">
        <v>4</v>
      </c>
      <c r="C25" s="69">
        <v>25448.625</v>
      </c>
      <c r="D25" s="70">
        <f>ROUND((C25-C$23)/C$23*100,1)</f>
        <v>-5.2</v>
      </c>
      <c r="E25"/>
    </row>
    <row r="26" spans="1:5" ht="15" customHeight="1">
      <c r="A26" s="138"/>
      <c r="B26" s="143"/>
      <c r="C26" s="69">
        <v>25978.227999999999</v>
      </c>
      <c r="D26" s="70">
        <f t="shared" ref="D26:D30" si="1">ROUND((C26-C$23)/C$23*100,1)</f>
        <v>-3.2</v>
      </c>
      <c r="E26"/>
    </row>
    <row r="27" spans="1:5" ht="15" customHeight="1">
      <c r="A27" s="138"/>
      <c r="B27" s="143"/>
      <c r="C27" s="69">
        <v>25202.595000000001</v>
      </c>
      <c r="D27" s="70">
        <f t="shared" si="1"/>
        <v>-6.1</v>
      </c>
      <c r="E27"/>
    </row>
    <row r="28" spans="1:5" ht="15" customHeight="1">
      <c r="A28" s="138"/>
      <c r="B28" s="143"/>
      <c r="C28" s="69">
        <v>29370.085999999999</v>
      </c>
      <c r="D28" s="70">
        <f t="shared" si="1"/>
        <v>9.4</v>
      </c>
      <c r="E28"/>
    </row>
    <row r="29" spans="1:5" ht="15" customHeight="1">
      <c r="A29" s="138"/>
      <c r="B29" s="143"/>
      <c r="C29" s="69">
        <v>27843.278999999999</v>
      </c>
      <c r="D29" s="70">
        <f t="shared" si="1"/>
        <v>3.7</v>
      </c>
      <c r="E29"/>
    </row>
    <row r="30" spans="1:5" ht="15" customHeight="1">
      <c r="A30" s="138"/>
      <c r="B30" s="144"/>
      <c r="C30" s="69">
        <v>28222.215</v>
      </c>
      <c r="D30" s="70">
        <f t="shared" si="1"/>
        <v>5.0999999999999996</v>
      </c>
      <c r="E30"/>
    </row>
    <row r="31" spans="1:5" ht="15" customHeight="1">
      <c r="A31" s="12" t="s">
        <v>91</v>
      </c>
      <c r="B31" s="135"/>
      <c r="C31" s="69">
        <f>ROUND(AVERAGE(C25:C30),3)</f>
        <v>27010.838</v>
      </c>
      <c r="D31" s="135"/>
    </row>
    <row r="32" spans="1:5" ht="15" customHeight="1">
      <c r="A32" s="12" t="s">
        <v>4</v>
      </c>
      <c r="B32" s="136"/>
      <c r="C32" s="69">
        <f>ROUND(STDEV(C25:C30),3)</f>
        <v>1703.114</v>
      </c>
      <c r="D32" s="136"/>
    </row>
    <row r="33" spans="1:4" ht="15" customHeight="1">
      <c r="A33" s="12" t="s">
        <v>40</v>
      </c>
      <c r="B33" s="136"/>
      <c r="C33" s="70">
        <f>ROUND(C32/C31*100,1)</f>
        <v>6.3</v>
      </c>
      <c r="D33" s="136"/>
    </row>
    <row r="34" spans="1:4" ht="15" customHeight="1">
      <c r="A34" s="12" t="s">
        <v>41</v>
      </c>
      <c r="B34" s="136"/>
      <c r="C34" s="70">
        <f>ROUND(C31/C$23*100,1)</f>
        <v>100.6</v>
      </c>
      <c r="D34" s="136"/>
    </row>
    <row r="35" spans="1:4" ht="15" customHeight="1">
      <c r="A35" s="12" t="s">
        <v>5</v>
      </c>
      <c r="B35" s="137"/>
      <c r="C35" s="12">
        <v>6</v>
      </c>
      <c r="D35" s="137"/>
    </row>
    <row r="36" spans="1:4" ht="15" customHeight="1">
      <c r="A36" s="4"/>
      <c r="B36" s="4"/>
      <c r="C36" s="4"/>
      <c r="D36" s="4"/>
    </row>
  </sheetData>
  <mergeCells count="15">
    <mergeCell ref="A2:D2"/>
    <mergeCell ref="B14:B18"/>
    <mergeCell ref="D5:D7"/>
    <mergeCell ref="B5:B7"/>
    <mergeCell ref="A5:A7"/>
    <mergeCell ref="A8:A13"/>
    <mergeCell ref="B8:B13"/>
    <mergeCell ref="D14:D18"/>
    <mergeCell ref="B31:B35"/>
    <mergeCell ref="D31:D35"/>
    <mergeCell ref="A22:A24"/>
    <mergeCell ref="B22:B24"/>
    <mergeCell ref="D22:D24"/>
    <mergeCell ref="A25:A30"/>
    <mergeCell ref="B25:B3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J38"/>
  <sheetViews>
    <sheetView topLeftCell="A4" zoomScaleNormal="100" zoomScaleSheetLayoutView="100" workbookViewId="0">
      <selection activeCell="J36" sqref="J36"/>
    </sheetView>
  </sheetViews>
  <sheetFormatPr defaultColWidth="8.86328125" defaultRowHeight="13.5"/>
  <cols>
    <col min="1" max="6" width="14.59765625" style="2" customWidth="1"/>
    <col min="7" max="7" width="12.3984375" style="2" customWidth="1"/>
    <col min="8" max="8" width="8.86328125" style="2"/>
    <col min="9" max="9" width="16.86328125" style="2" customWidth="1"/>
    <col min="10" max="10" width="17.59765625" style="2" customWidth="1"/>
    <col min="11" max="16384" width="8.86328125" style="2"/>
  </cols>
  <sheetData>
    <row r="2" spans="1:10">
      <c r="A2" s="118" t="s">
        <v>25</v>
      </c>
      <c r="B2" s="118"/>
      <c r="C2" s="118"/>
    </row>
    <row r="3" spans="1:10" ht="13.9">
      <c r="A3" s="50"/>
      <c r="B3" s="50"/>
      <c r="C3" s="50"/>
      <c r="I3" s="78"/>
      <c r="J3" s="78"/>
    </row>
    <row r="4" spans="1:10" ht="13.9">
      <c r="A4" s="2" t="s">
        <v>127</v>
      </c>
      <c r="H4" s="35" t="s">
        <v>50</v>
      </c>
      <c r="I4" s="79">
        <v>45905.746527777781</v>
      </c>
      <c r="J4" s="79"/>
    </row>
    <row r="5" spans="1:10" ht="14.25" customHeight="1">
      <c r="A5" s="81" t="s">
        <v>166</v>
      </c>
      <c r="C5" s="50"/>
      <c r="D5" s="50"/>
      <c r="E5" s="50"/>
      <c r="H5" s="35" t="s">
        <v>94</v>
      </c>
      <c r="I5" s="79">
        <v>45906.621527777781</v>
      </c>
      <c r="J5" s="79"/>
    </row>
    <row r="6" spans="1:10" ht="13.5" customHeight="1">
      <c r="A6" s="142" t="s">
        <v>20</v>
      </c>
      <c r="B6" s="142" t="s">
        <v>8</v>
      </c>
      <c r="C6" s="12" t="s">
        <v>3</v>
      </c>
      <c r="D6" s="123" t="s">
        <v>33</v>
      </c>
      <c r="E6" s="12" t="s">
        <v>1</v>
      </c>
      <c r="F6" s="123" t="s">
        <v>33</v>
      </c>
      <c r="H6" s="26" t="s">
        <v>47</v>
      </c>
      <c r="I6" s="80">
        <f>(I5-I4)*24</f>
        <v>21</v>
      </c>
      <c r="J6" s="80"/>
    </row>
    <row r="7" spans="1:10">
      <c r="A7" s="143"/>
      <c r="B7" s="143"/>
      <c r="C7" s="14">
        <v>13.888999999999999</v>
      </c>
      <c r="D7" s="123"/>
      <c r="E7" s="14">
        <v>3472.3539999999998</v>
      </c>
      <c r="F7" s="123"/>
      <c r="I7" s="101"/>
    </row>
    <row r="8" spans="1:10">
      <c r="A8" s="144"/>
      <c r="B8" s="144"/>
      <c r="C8" s="51" t="s">
        <v>156</v>
      </c>
      <c r="D8" s="123"/>
      <c r="E8" s="51" t="s">
        <v>157</v>
      </c>
      <c r="F8" s="123"/>
    </row>
    <row r="9" spans="1:10" ht="13.9">
      <c r="A9" s="138">
        <v>45909</v>
      </c>
      <c r="B9" s="142">
        <v>7</v>
      </c>
      <c r="C9" s="69">
        <v>12.895</v>
      </c>
      <c r="D9" s="70">
        <f t="shared" ref="D9:D14" si="0">ROUND((C9-C$7)/C$7*100,1)</f>
        <v>-7.2</v>
      </c>
      <c r="E9" s="69">
        <v>3352.9160000000002</v>
      </c>
      <c r="F9" s="70">
        <f t="shared" ref="F9:F14" si="1">ROUND((E9-E$7)/E$7*100,1)</f>
        <v>-3.4</v>
      </c>
      <c r="G9"/>
      <c r="H9"/>
    </row>
    <row r="10" spans="1:10" ht="13.9">
      <c r="A10" s="138"/>
      <c r="B10" s="143"/>
      <c r="C10" s="69">
        <v>13.762</v>
      </c>
      <c r="D10" s="70">
        <f t="shared" si="0"/>
        <v>-0.9</v>
      </c>
      <c r="E10" s="69">
        <v>3338.625</v>
      </c>
      <c r="F10" s="70">
        <f t="shared" si="1"/>
        <v>-3.9</v>
      </c>
      <c r="G10"/>
      <c r="H10"/>
    </row>
    <row r="11" spans="1:10" ht="13.9">
      <c r="A11" s="138"/>
      <c r="B11" s="143"/>
      <c r="C11" s="69">
        <v>13.472</v>
      </c>
      <c r="D11" s="70">
        <f t="shared" si="0"/>
        <v>-3</v>
      </c>
      <c r="E11" s="69">
        <v>3294.4540000000002</v>
      </c>
      <c r="F11" s="70">
        <f t="shared" si="1"/>
        <v>-5.0999999999999996</v>
      </c>
      <c r="G11"/>
      <c r="H11"/>
    </row>
    <row r="12" spans="1:10" ht="13.9">
      <c r="A12" s="138"/>
      <c r="B12" s="143"/>
      <c r="C12" s="69">
        <v>13.292</v>
      </c>
      <c r="D12" s="70">
        <f t="shared" si="0"/>
        <v>-4.3</v>
      </c>
      <c r="E12" s="69">
        <v>3269.61</v>
      </c>
      <c r="F12" s="70">
        <f t="shared" si="1"/>
        <v>-5.8</v>
      </c>
      <c r="G12"/>
      <c r="H12"/>
    </row>
    <row r="13" spans="1:10" ht="13.9">
      <c r="A13" s="138"/>
      <c r="B13" s="143"/>
      <c r="C13" s="69">
        <v>14.217000000000001</v>
      </c>
      <c r="D13" s="70">
        <f t="shared" si="0"/>
        <v>2.4</v>
      </c>
      <c r="E13" s="69">
        <v>3262.0419999999999</v>
      </c>
      <c r="F13" s="70">
        <f t="shared" si="1"/>
        <v>-6.1</v>
      </c>
      <c r="G13"/>
      <c r="H13"/>
    </row>
    <row r="14" spans="1:10" ht="13.9">
      <c r="A14" s="138"/>
      <c r="B14" s="144"/>
      <c r="C14" s="69">
        <v>12.686999999999999</v>
      </c>
      <c r="D14" s="70">
        <f t="shared" si="0"/>
        <v>-8.6999999999999993</v>
      </c>
      <c r="E14" s="69">
        <v>3369.3220000000001</v>
      </c>
      <c r="F14" s="70">
        <f t="shared" si="1"/>
        <v>-3</v>
      </c>
      <c r="G14"/>
      <c r="H14"/>
    </row>
    <row r="15" spans="1:10" ht="13.9">
      <c r="A15" s="12" t="s">
        <v>14</v>
      </c>
      <c r="B15" s="135"/>
      <c r="C15" s="69">
        <f>ROUND(AVERAGE(C9:C14),3)</f>
        <v>13.388</v>
      </c>
      <c r="D15" s="135"/>
      <c r="E15" s="69">
        <f>ROUND(AVERAGE(E9:E14),3)</f>
        <v>3314.4949999999999</v>
      </c>
      <c r="F15" s="135"/>
      <c r="G15"/>
      <c r="H15"/>
    </row>
    <row r="16" spans="1:10" ht="13.9">
      <c r="A16" s="12" t="s">
        <v>4</v>
      </c>
      <c r="B16" s="136"/>
      <c r="C16" s="69">
        <f>ROUND(STDEV(C9:C14),3)</f>
        <v>0.56200000000000006</v>
      </c>
      <c r="D16" s="136"/>
      <c r="E16" s="69">
        <f>ROUND(STDEV(E9:E14),3)</f>
        <v>45.237000000000002</v>
      </c>
      <c r="F16" s="136"/>
      <c r="G16"/>
      <c r="H16"/>
    </row>
    <row r="17" spans="1:10" ht="13.9">
      <c r="A17" s="12" t="s">
        <v>31</v>
      </c>
      <c r="B17" s="136"/>
      <c r="C17" s="70">
        <f>ROUND(C16/C15*100,1)</f>
        <v>4.2</v>
      </c>
      <c r="D17" s="136"/>
      <c r="E17" s="70">
        <f>ROUND(E16/E15*100,1)</f>
        <v>1.4</v>
      </c>
      <c r="F17" s="136"/>
      <c r="G17"/>
      <c r="H17"/>
    </row>
    <row r="18" spans="1:10" ht="13.9">
      <c r="A18" s="12" t="s">
        <v>32</v>
      </c>
      <c r="B18" s="136"/>
      <c r="C18" s="70">
        <f>ROUND(C15/C$7*100,1)</f>
        <v>96.4</v>
      </c>
      <c r="D18" s="136"/>
      <c r="E18" s="70">
        <f>ROUND(E15/E$7*100,1)</f>
        <v>95.5</v>
      </c>
      <c r="F18" s="136"/>
      <c r="G18"/>
      <c r="H18"/>
    </row>
    <row r="19" spans="1:10" ht="13.9">
      <c r="A19" s="12" t="s">
        <v>5</v>
      </c>
      <c r="B19" s="137"/>
      <c r="C19" s="12">
        <v>6</v>
      </c>
      <c r="D19" s="137"/>
      <c r="E19" s="12">
        <v>6</v>
      </c>
      <c r="F19" s="137"/>
      <c r="G19"/>
      <c r="H19"/>
    </row>
    <row r="20" spans="1:10" ht="13.9">
      <c r="A20" s="3"/>
      <c r="B20" s="3"/>
      <c r="C20" s="3"/>
      <c r="D20" s="3"/>
      <c r="E20" s="3"/>
      <c r="G20"/>
      <c r="H20"/>
    </row>
    <row r="21" spans="1:10" ht="13.9">
      <c r="I21" s="78"/>
      <c r="J21" s="78"/>
    </row>
    <row r="22" spans="1:10" ht="13.9">
      <c r="A22" s="2" t="s">
        <v>128</v>
      </c>
      <c r="H22" s="35" t="s">
        <v>50</v>
      </c>
      <c r="I22" s="79">
        <v>45905.746527777781</v>
      </c>
      <c r="J22" s="79"/>
    </row>
    <row r="23" spans="1:10" ht="13.9">
      <c r="A23" s="81" t="s">
        <v>166</v>
      </c>
      <c r="C23" s="50"/>
      <c r="D23" s="50"/>
      <c r="E23" s="50"/>
      <c r="H23" s="35" t="s">
        <v>94</v>
      </c>
      <c r="I23" s="79">
        <v>45906.621527777781</v>
      </c>
      <c r="J23" s="79"/>
    </row>
    <row r="24" spans="1:10">
      <c r="A24" s="142" t="s">
        <v>20</v>
      </c>
      <c r="B24" s="142" t="s">
        <v>8</v>
      </c>
      <c r="C24" s="12" t="s">
        <v>3</v>
      </c>
      <c r="D24" s="123" t="s">
        <v>33</v>
      </c>
      <c r="E24" s="12" t="s">
        <v>1</v>
      </c>
      <c r="F24" s="123" t="s">
        <v>33</v>
      </c>
      <c r="H24" s="26" t="s">
        <v>47</v>
      </c>
      <c r="I24" s="80">
        <f>(I23-I22)*24</f>
        <v>21</v>
      </c>
      <c r="J24" s="80"/>
    </row>
    <row r="25" spans="1:10">
      <c r="A25" s="143"/>
      <c r="B25" s="143"/>
      <c r="C25" s="14">
        <v>16.111000000000001</v>
      </c>
      <c r="D25" s="123"/>
      <c r="E25" s="14">
        <v>4027.6260000000002</v>
      </c>
      <c r="F25" s="123"/>
      <c r="I25" s="101"/>
    </row>
    <row r="26" spans="1:10">
      <c r="A26" s="144"/>
      <c r="B26" s="144"/>
      <c r="C26" s="51" t="s">
        <v>157</v>
      </c>
      <c r="D26" s="123"/>
      <c r="E26" s="51" t="s">
        <v>157</v>
      </c>
      <c r="F26" s="123"/>
    </row>
    <row r="27" spans="1:10" ht="13.9">
      <c r="A27" s="138">
        <v>45909</v>
      </c>
      <c r="B27" s="142">
        <v>7</v>
      </c>
      <c r="C27" s="69">
        <v>14.686999999999999</v>
      </c>
      <c r="D27" s="70">
        <f>ROUND((C27-C$25)/C$25*100,1)</f>
        <v>-8.8000000000000007</v>
      </c>
      <c r="E27" s="69">
        <v>3775.7080000000001</v>
      </c>
      <c r="F27" s="70">
        <f t="shared" ref="F27:F32" si="2">ROUND((E27-E$25)/E$25*100,1)</f>
        <v>-6.3</v>
      </c>
      <c r="G27"/>
      <c r="H27"/>
    </row>
    <row r="28" spans="1:10" ht="13.9">
      <c r="A28" s="138"/>
      <c r="B28" s="143"/>
      <c r="C28" s="69">
        <v>15.585000000000001</v>
      </c>
      <c r="D28" s="70">
        <f>ROUND((C28-C$25)/C$25*100,1)</f>
        <v>-3.3</v>
      </c>
      <c r="E28" s="69">
        <v>3529.8319999999999</v>
      </c>
      <c r="F28" s="70">
        <f t="shared" si="2"/>
        <v>-12.4</v>
      </c>
      <c r="G28"/>
      <c r="H28"/>
    </row>
    <row r="29" spans="1:10" ht="13.9">
      <c r="A29" s="138"/>
      <c r="B29" s="143"/>
      <c r="C29" s="69">
        <v>15.172000000000001</v>
      </c>
      <c r="D29" s="70">
        <f t="shared" ref="D29:D31" si="3">ROUND((C29-C$25)/C$25*100,1)</f>
        <v>-5.8</v>
      </c>
      <c r="E29" s="69">
        <v>3621.701</v>
      </c>
      <c r="F29" s="70">
        <f t="shared" si="2"/>
        <v>-10.1</v>
      </c>
      <c r="G29"/>
      <c r="H29"/>
    </row>
    <row r="30" spans="1:10" ht="13.9">
      <c r="A30" s="138"/>
      <c r="B30" s="143"/>
      <c r="C30" s="69">
        <v>15.125999999999999</v>
      </c>
      <c r="D30" s="70">
        <f t="shared" si="3"/>
        <v>-6.1</v>
      </c>
      <c r="E30" s="69">
        <v>3518.91</v>
      </c>
      <c r="F30" s="70">
        <f t="shared" si="2"/>
        <v>-12.6</v>
      </c>
      <c r="G30"/>
      <c r="H30"/>
    </row>
    <row r="31" spans="1:10" ht="13.9">
      <c r="A31" s="138"/>
      <c r="B31" s="143"/>
      <c r="C31" s="69">
        <v>16.190000000000001</v>
      </c>
      <c r="D31" s="70">
        <f t="shared" si="3"/>
        <v>0.5</v>
      </c>
      <c r="E31" s="69">
        <v>3767.547</v>
      </c>
      <c r="F31" s="70">
        <f t="shared" si="2"/>
        <v>-6.5</v>
      </c>
      <c r="G31"/>
      <c r="H31"/>
    </row>
    <row r="32" spans="1:10" ht="13.9">
      <c r="A32" s="138"/>
      <c r="B32" s="144"/>
      <c r="C32" s="69">
        <v>13.997999999999999</v>
      </c>
      <c r="D32" s="70">
        <f>ROUND((C32-C$25)/C$25*100,1)</f>
        <v>-13.1</v>
      </c>
      <c r="E32" s="69">
        <v>3756.6039999999998</v>
      </c>
      <c r="F32" s="70">
        <f t="shared" si="2"/>
        <v>-6.7</v>
      </c>
      <c r="G32"/>
      <c r="H32"/>
    </row>
    <row r="33" spans="1:8" ht="13.9">
      <c r="A33" s="12" t="s">
        <v>14</v>
      </c>
      <c r="B33" s="135"/>
      <c r="C33" s="69">
        <f>ROUND(AVERAGE(C27:C32),3)</f>
        <v>15.125999999999999</v>
      </c>
      <c r="D33" s="135"/>
      <c r="E33" s="69">
        <f>ROUND(AVERAGE(E27:E32),3)</f>
        <v>3661.7170000000001</v>
      </c>
      <c r="F33" s="135"/>
      <c r="G33"/>
      <c r="H33"/>
    </row>
    <row r="34" spans="1:8" ht="13.9">
      <c r="A34" s="12" t="s">
        <v>4</v>
      </c>
      <c r="B34" s="136"/>
      <c r="C34" s="69">
        <f>ROUND(STDEV(C27:C32),3)</f>
        <v>0.75</v>
      </c>
      <c r="D34" s="136"/>
      <c r="E34" s="69">
        <f>ROUND(STDEV(E27:E32),3)</f>
        <v>120.488</v>
      </c>
      <c r="F34" s="136"/>
      <c r="G34"/>
      <c r="H34"/>
    </row>
    <row r="35" spans="1:8" ht="13.9">
      <c r="A35" s="12" t="s">
        <v>31</v>
      </c>
      <c r="B35" s="136"/>
      <c r="C35" s="70">
        <f>ROUND(C34/C33*100,1)</f>
        <v>5</v>
      </c>
      <c r="D35" s="136"/>
      <c r="E35" s="70">
        <f>ROUND(E34/E33*100,1)</f>
        <v>3.3</v>
      </c>
      <c r="F35" s="136"/>
      <c r="G35"/>
      <c r="H35"/>
    </row>
    <row r="36" spans="1:8" ht="13.9">
      <c r="A36" s="12" t="s">
        <v>32</v>
      </c>
      <c r="B36" s="136"/>
      <c r="C36" s="70">
        <f>ROUND(C33/C$25*100,1)</f>
        <v>93.9</v>
      </c>
      <c r="D36" s="136"/>
      <c r="E36" s="70">
        <f>ROUND(E33/E$25*100,1)</f>
        <v>90.9</v>
      </c>
      <c r="F36" s="136"/>
      <c r="G36"/>
      <c r="H36"/>
    </row>
    <row r="37" spans="1:8" ht="13.9">
      <c r="A37" s="12" t="s">
        <v>5</v>
      </c>
      <c r="B37" s="137"/>
      <c r="C37" s="12">
        <v>6</v>
      </c>
      <c r="D37" s="137"/>
      <c r="E37" s="12">
        <v>6</v>
      </c>
      <c r="F37" s="137"/>
      <c r="G37"/>
      <c r="H37"/>
    </row>
    <row r="38" spans="1:8" ht="13.9">
      <c r="G38"/>
      <c r="H38"/>
    </row>
  </sheetData>
  <mergeCells count="19"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  <mergeCell ref="B33:B37"/>
    <mergeCell ref="D33:D37"/>
    <mergeCell ref="F33:F37"/>
    <mergeCell ref="A24:A26"/>
    <mergeCell ref="B24:B26"/>
    <mergeCell ref="D24:D26"/>
    <mergeCell ref="F24:F26"/>
    <mergeCell ref="A27:A32"/>
    <mergeCell ref="B27:B32"/>
  </mergeCells>
  <phoneticPr fontId="4" type="noConversion"/>
  <conditionalFormatting sqref="H9:H20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H27:H38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2:K38"/>
  <sheetViews>
    <sheetView zoomScaleNormal="100" zoomScaleSheetLayoutView="100" workbookViewId="0">
      <selection activeCell="M39" sqref="M39"/>
    </sheetView>
  </sheetViews>
  <sheetFormatPr defaultColWidth="8.86328125" defaultRowHeight="13.5"/>
  <cols>
    <col min="1" max="7" width="12.86328125" style="2" customWidth="1"/>
    <col min="8" max="8" width="13.46484375" style="2" customWidth="1"/>
    <col min="9" max="16384" width="8.86328125" style="2"/>
  </cols>
  <sheetData>
    <row r="2" spans="1:9">
      <c r="A2" s="118" t="s">
        <v>24</v>
      </c>
      <c r="B2" s="118"/>
      <c r="C2" s="118"/>
      <c r="D2" s="118"/>
      <c r="E2" s="118"/>
      <c r="F2" s="118"/>
    </row>
    <row r="3" spans="1:9">
      <c r="A3" s="50"/>
      <c r="B3" s="50"/>
      <c r="C3" s="50"/>
      <c r="D3" s="50"/>
      <c r="E3" s="50"/>
      <c r="F3" s="50"/>
    </row>
    <row r="4" spans="1:9">
      <c r="A4" s="2" t="s">
        <v>127</v>
      </c>
      <c r="B4" s="50"/>
      <c r="C4" s="50"/>
      <c r="D4" s="50"/>
      <c r="E4" s="50"/>
      <c r="F4" s="50"/>
    </row>
    <row r="5" spans="1:9" ht="13.9">
      <c r="A5" s="112" t="s">
        <v>167</v>
      </c>
      <c r="B5" s="36"/>
      <c r="C5" s="36"/>
      <c r="D5" s="36"/>
      <c r="E5" s="36"/>
      <c r="F5" s="36"/>
    </row>
    <row r="6" spans="1:9" s="21" customFormat="1">
      <c r="A6" s="142" t="s">
        <v>20</v>
      </c>
      <c r="B6" s="142" t="s">
        <v>8</v>
      </c>
      <c r="C6" s="142" t="s">
        <v>95</v>
      </c>
      <c r="D6" s="12" t="s">
        <v>3</v>
      </c>
      <c r="E6" s="123" t="s">
        <v>33</v>
      </c>
      <c r="F6" s="12" t="s">
        <v>1</v>
      </c>
      <c r="G6" s="123" t="s">
        <v>33</v>
      </c>
    </row>
    <row r="7" spans="1:9" s="21" customFormat="1">
      <c r="A7" s="143"/>
      <c r="B7" s="143"/>
      <c r="C7" s="143"/>
      <c r="D7" s="14">
        <v>13.888999999999999</v>
      </c>
      <c r="E7" s="123"/>
      <c r="F7" s="14">
        <v>3472.3539999999998</v>
      </c>
      <c r="G7" s="123"/>
    </row>
    <row r="8" spans="1:9" s="21" customFormat="1">
      <c r="A8" s="144"/>
      <c r="B8" s="144"/>
      <c r="C8" s="144"/>
      <c r="D8" s="51" t="s">
        <v>156</v>
      </c>
      <c r="E8" s="123"/>
      <c r="F8" s="51" t="s">
        <v>157</v>
      </c>
      <c r="G8" s="123"/>
    </row>
    <row r="9" spans="1:9" s="21" customFormat="1" ht="13.9">
      <c r="A9" s="138">
        <v>45909</v>
      </c>
      <c r="B9" s="142">
        <v>7</v>
      </c>
      <c r="C9" s="142" t="s">
        <v>96</v>
      </c>
      <c r="D9" s="69">
        <v>13.629</v>
      </c>
      <c r="E9" s="70">
        <f t="shared" ref="E9:E14" si="0">ROUND((D9-D$7)/D$7*100,1)</f>
        <v>-1.9</v>
      </c>
      <c r="F9" s="69">
        <v>3408.2109999999998</v>
      </c>
      <c r="G9" s="70">
        <f t="shared" ref="G9:G14" si="1">ROUND((F9-F$7)/F$7*100,1)</f>
        <v>-1.8</v>
      </c>
      <c r="H9"/>
      <c r="I9"/>
    </row>
    <row r="10" spans="1:9" s="21" customFormat="1" ht="13.9">
      <c r="A10" s="138"/>
      <c r="B10" s="143"/>
      <c r="C10" s="143"/>
      <c r="D10" s="69">
        <v>13.241</v>
      </c>
      <c r="E10" s="70">
        <f t="shared" si="0"/>
        <v>-4.7</v>
      </c>
      <c r="F10" s="69">
        <v>3191.828</v>
      </c>
      <c r="G10" s="70">
        <f t="shared" si="1"/>
        <v>-8.1</v>
      </c>
      <c r="H10"/>
      <c r="I10"/>
    </row>
    <row r="11" spans="1:9" s="21" customFormat="1" ht="13.9">
      <c r="A11" s="138"/>
      <c r="B11" s="143"/>
      <c r="C11" s="143"/>
      <c r="D11" s="69">
        <v>13.911</v>
      </c>
      <c r="E11" s="70">
        <f t="shared" si="0"/>
        <v>0.2</v>
      </c>
      <c r="F11" s="69">
        <v>3417.3249999999998</v>
      </c>
      <c r="G11" s="70">
        <f t="shared" si="1"/>
        <v>-1.6</v>
      </c>
      <c r="H11"/>
      <c r="I11"/>
    </row>
    <row r="12" spans="1:9" s="21" customFormat="1" ht="13.9">
      <c r="A12" s="138"/>
      <c r="B12" s="143"/>
      <c r="C12" s="143"/>
      <c r="D12" s="69">
        <v>12.827999999999999</v>
      </c>
      <c r="E12" s="70">
        <f t="shared" si="0"/>
        <v>-7.6</v>
      </c>
      <c r="F12" s="69">
        <v>3229.018</v>
      </c>
      <c r="G12" s="70">
        <f t="shared" si="1"/>
        <v>-7</v>
      </c>
      <c r="H12"/>
      <c r="I12"/>
    </row>
    <row r="13" spans="1:9" s="21" customFormat="1" ht="13.9">
      <c r="A13" s="138"/>
      <c r="B13" s="143"/>
      <c r="C13" s="143"/>
      <c r="D13" s="69">
        <v>13.7</v>
      </c>
      <c r="E13" s="70">
        <f t="shared" si="0"/>
        <v>-1.4</v>
      </c>
      <c r="F13" s="69">
        <v>3223.0430000000001</v>
      </c>
      <c r="G13" s="70">
        <f t="shared" si="1"/>
        <v>-7.2</v>
      </c>
      <c r="H13"/>
      <c r="I13"/>
    </row>
    <row r="14" spans="1:9" s="21" customFormat="1" ht="13.9">
      <c r="A14" s="138"/>
      <c r="B14" s="144"/>
      <c r="C14" s="144"/>
      <c r="D14" s="69">
        <v>12.683</v>
      </c>
      <c r="E14" s="70">
        <f t="shared" si="0"/>
        <v>-8.6999999999999993</v>
      </c>
      <c r="F14" s="69">
        <v>3437.85</v>
      </c>
      <c r="G14" s="70">
        <f t="shared" si="1"/>
        <v>-1</v>
      </c>
      <c r="H14"/>
      <c r="I14"/>
    </row>
    <row r="15" spans="1:9" s="21" customFormat="1" ht="13.9">
      <c r="A15" s="12" t="s">
        <v>14</v>
      </c>
      <c r="B15" s="135"/>
      <c r="C15" s="135"/>
      <c r="D15" s="69">
        <f>ROUND(AVERAGE(D9:D14),3)</f>
        <v>13.332000000000001</v>
      </c>
      <c r="E15" s="135"/>
      <c r="F15" s="69">
        <f>ROUND(AVERAGE(F9:F14),3)</f>
        <v>3317.8789999999999</v>
      </c>
      <c r="G15" s="135"/>
      <c r="H15"/>
      <c r="I15"/>
    </row>
    <row r="16" spans="1:9" s="21" customFormat="1" ht="13.9">
      <c r="A16" s="12" t="s">
        <v>4</v>
      </c>
      <c r="B16" s="136"/>
      <c r="C16" s="136"/>
      <c r="D16" s="69">
        <f>ROUND(STDEV(D9:D14),3)</f>
        <v>0.498</v>
      </c>
      <c r="E16" s="136"/>
      <c r="F16" s="69">
        <f>ROUND(STDEV(F9:F14),3)</f>
        <v>114.212</v>
      </c>
      <c r="G16" s="136"/>
      <c r="H16"/>
      <c r="I16"/>
    </row>
    <row r="17" spans="1:11" s="21" customFormat="1" ht="13.9">
      <c r="A17" s="12" t="s">
        <v>31</v>
      </c>
      <c r="B17" s="136"/>
      <c r="C17" s="136"/>
      <c r="D17" s="70">
        <f>ROUND(D16/D15*100,1)</f>
        <v>3.7</v>
      </c>
      <c r="E17" s="136"/>
      <c r="F17" s="70">
        <f>ROUND(F16/F15*100,1)</f>
        <v>3.4</v>
      </c>
      <c r="G17" s="136"/>
      <c r="H17"/>
      <c r="I17"/>
    </row>
    <row r="18" spans="1:11" s="21" customFormat="1" ht="13.9">
      <c r="A18" s="12" t="s">
        <v>32</v>
      </c>
      <c r="B18" s="136"/>
      <c r="C18" s="136"/>
      <c r="D18" s="70">
        <f>ROUND(D15/D$7*100,1)</f>
        <v>96</v>
      </c>
      <c r="E18" s="136"/>
      <c r="F18" s="70">
        <f>ROUND(F15/F$7*100,1)</f>
        <v>95.6</v>
      </c>
      <c r="G18" s="136"/>
      <c r="H18"/>
      <c r="I18"/>
    </row>
    <row r="19" spans="1:11" s="21" customFormat="1" ht="13.9">
      <c r="A19" s="12" t="s">
        <v>5</v>
      </c>
      <c r="B19" s="137"/>
      <c r="C19" s="137"/>
      <c r="D19" s="12">
        <v>6</v>
      </c>
      <c r="E19" s="137"/>
      <c r="F19" s="12">
        <v>6</v>
      </c>
      <c r="G19" s="137"/>
      <c r="H19"/>
      <c r="I19"/>
    </row>
    <row r="20" spans="1:11" ht="13.9">
      <c r="A20" s="3"/>
      <c r="B20" s="3"/>
      <c r="C20" s="3"/>
      <c r="D20" s="3"/>
      <c r="E20" s="3"/>
      <c r="F20" s="37"/>
      <c r="H20"/>
      <c r="I20"/>
    </row>
    <row r="21" spans="1:11">
      <c r="A21" s="179"/>
      <c r="B21" s="179"/>
      <c r="C21" s="179"/>
      <c r="D21" s="179"/>
    </row>
    <row r="22" spans="1:11">
      <c r="A22" s="2" t="s">
        <v>128</v>
      </c>
      <c r="B22" s="50"/>
      <c r="C22" s="50"/>
      <c r="D22" s="50"/>
      <c r="E22" s="50"/>
      <c r="F22" s="50"/>
    </row>
    <row r="23" spans="1:11" ht="13.9">
      <c r="A23" s="112" t="s">
        <v>167</v>
      </c>
      <c r="B23" s="36"/>
      <c r="C23" s="36"/>
      <c r="D23" s="36"/>
      <c r="E23" s="36"/>
      <c r="F23" s="36"/>
    </row>
    <row r="24" spans="1:11" s="21" customFormat="1">
      <c r="A24" s="142" t="s">
        <v>20</v>
      </c>
      <c r="B24" s="142" t="s">
        <v>8</v>
      </c>
      <c r="C24" s="142" t="s">
        <v>95</v>
      </c>
      <c r="D24" s="12" t="s">
        <v>3</v>
      </c>
      <c r="E24" s="123" t="s">
        <v>33</v>
      </c>
      <c r="F24" s="12" t="s">
        <v>1</v>
      </c>
      <c r="G24" s="123" t="s">
        <v>33</v>
      </c>
    </row>
    <row r="25" spans="1:11" s="21" customFormat="1">
      <c r="A25" s="143"/>
      <c r="B25" s="143"/>
      <c r="C25" s="143"/>
      <c r="D25" s="14">
        <v>16.111000000000001</v>
      </c>
      <c r="E25" s="123"/>
      <c r="F25" s="14">
        <v>4027.6260000000002</v>
      </c>
      <c r="G25" s="123"/>
    </row>
    <row r="26" spans="1:11" s="21" customFormat="1">
      <c r="A26" s="144"/>
      <c r="B26" s="144"/>
      <c r="C26" s="144"/>
      <c r="D26" s="51" t="s">
        <v>157</v>
      </c>
      <c r="E26" s="123"/>
      <c r="F26" s="51" t="s">
        <v>157</v>
      </c>
      <c r="G26" s="123"/>
    </row>
    <row r="27" spans="1:11" s="21" customFormat="1" ht="13.9" customHeight="1">
      <c r="A27" s="138">
        <v>45909</v>
      </c>
      <c r="B27" s="142">
        <v>7</v>
      </c>
      <c r="C27" s="142" t="s">
        <v>96</v>
      </c>
      <c r="D27" s="69">
        <v>15.327999999999999</v>
      </c>
      <c r="E27" s="70">
        <f>ROUND((D27-D$25)/D$25*100,1)</f>
        <v>-4.9000000000000004</v>
      </c>
      <c r="F27" s="69">
        <v>3664.0250000000001</v>
      </c>
      <c r="G27" s="70">
        <f>ROUND((F27-F$25)/F$25*100,1)</f>
        <v>-9</v>
      </c>
      <c r="H27"/>
      <c r="I27"/>
      <c r="K27"/>
    </row>
    <row r="28" spans="1:11" s="21" customFormat="1" ht="13.9">
      <c r="A28" s="138"/>
      <c r="B28" s="143"/>
      <c r="C28" s="143"/>
      <c r="D28" s="69">
        <v>14.922000000000001</v>
      </c>
      <c r="E28" s="70">
        <f t="shared" ref="E28:E31" si="2">ROUND((D28-D$25)/D$25*100,1)</f>
        <v>-7.4</v>
      </c>
      <c r="F28" s="69">
        <v>3555.1370000000002</v>
      </c>
      <c r="G28" s="70">
        <f>ROUND((F28-F$25)/F$25*100,1)</f>
        <v>-11.7</v>
      </c>
      <c r="H28"/>
      <c r="I28"/>
      <c r="K28"/>
    </row>
    <row r="29" spans="1:11" s="21" customFormat="1" ht="13.9">
      <c r="A29" s="138"/>
      <c r="B29" s="143"/>
      <c r="C29" s="143"/>
      <c r="D29" s="69">
        <v>15.502000000000001</v>
      </c>
      <c r="E29" s="70">
        <f t="shared" si="2"/>
        <v>-3.8</v>
      </c>
      <c r="F29" s="69">
        <v>3753.5970000000002</v>
      </c>
      <c r="G29" s="70">
        <f t="shared" ref="G29:G32" si="3">ROUND((F29-F$25)/F$25*100,1)</f>
        <v>-6.8</v>
      </c>
      <c r="H29"/>
      <c r="I29"/>
      <c r="K29"/>
    </row>
    <row r="30" spans="1:11" s="21" customFormat="1" ht="13.9">
      <c r="A30" s="138"/>
      <c r="B30" s="143"/>
      <c r="C30" s="143"/>
      <c r="D30" s="69">
        <v>14.532999999999999</v>
      </c>
      <c r="E30" s="70">
        <f t="shared" si="2"/>
        <v>-9.8000000000000007</v>
      </c>
      <c r="F30" s="69">
        <v>3523.1950000000002</v>
      </c>
      <c r="G30" s="70">
        <f t="shared" si="3"/>
        <v>-12.5</v>
      </c>
      <c r="H30"/>
      <c r="I30"/>
      <c r="K30"/>
    </row>
    <row r="31" spans="1:11" s="21" customFormat="1" ht="13.9">
      <c r="A31" s="138"/>
      <c r="B31" s="143"/>
      <c r="C31" s="143"/>
      <c r="D31" s="69">
        <v>16.472000000000001</v>
      </c>
      <c r="E31" s="70">
        <f t="shared" si="2"/>
        <v>2.2000000000000002</v>
      </c>
      <c r="F31" s="69">
        <v>3668.5239999999999</v>
      </c>
      <c r="G31" s="70">
        <f t="shared" si="3"/>
        <v>-8.9</v>
      </c>
      <c r="H31"/>
      <c r="I31"/>
      <c r="K31"/>
    </row>
    <row r="32" spans="1:11" s="21" customFormat="1" ht="13.9">
      <c r="A32" s="138"/>
      <c r="B32" s="144"/>
      <c r="C32" s="144"/>
      <c r="D32" s="69">
        <v>15.102</v>
      </c>
      <c r="E32" s="70">
        <f>ROUND((D32-D$25)/D$25*100,1)</f>
        <v>-6.3</v>
      </c>
      <c r="F32" s="69">
        <v>3621.357</v>
      </c>
      <c r="G32" s="70">
        <f t="shared" si="3"/>
        <v>-10.1</v>
      </c>
      <c r="H32"/>
      <c r="I32"/>
      <c r="K32"/>
    </row>
    <row r="33" spans="1:11" s="21" customFormat="1" ht="13.9">
      <c r="A33" s="12" t="s">
        <v>14</v>
      </c>
      <c r="B33" s="135"/>
      <c r="C33" s="135"/>
      <c r="D33" s="69">
        <f>ROUND(AVERAGE(D27:D32),3)</f>
        <v>15.31</v>
      </c>
      <c r="E33" s="135"/>
      <c r="F33" s="69">
        <f>ROUND(AVERAGE(F27:F32),3)</f>
        <v>3630.973</v>
      </c>
      <c r="G33" s="135"/>
      <c r="H33"/>
      <c r="I33"/>
      <c r="K33"/>
    </row>
    <row r="34" spans="1:11" s="21" customFormat="1" ht="13.9">
      <c r="A34" s="12" t="s">
        <v>4</v>
      </c>
      <c r="B34" s="136"/>
      <c r="C34" s="136"/>
      <c r="D34" s="69">
        <f>ROUND(STDEV(D27:D32),3)</f>
        <v>0.66100000000000003</v>
      </c>
      <c r="E34" s="136"/>
      <c r="F34" s="69">
        <f>ROUND(STDEV(F27:F32),3)</f>
        <v>83.665000000000006</v>
      </c>
      <c r="G34" s="136"/>
      <c r="H34"/>
      <c r="I34"/>
      <c r="K34"/>
    </row>
    <row r="35" spans="1:11" s="21" customFormat="1" ht="13.9">
      <c r="A35" s="12" t="s">
        <v>31</v>
      </c>
      <c r="B35" s="136"/>
      <c r="C35" s="136"/>
      <c r="D35" s="70">
        <f>ROUND(D34/D33*100,1)</f>
        <v>4.3</v>
      </c>
      <c r="E35" s="136"/>
      <c r="F35" s="70">
        <f>ROUND(F34/F33*100,1)</f>
        <v>2.2999999999999998</v>
      </c>
      <c r="G35" s="136"/>
      <c r="H35"/>
      <c r="I35"/>
      <c r="K35"/>
    </row>
    <row r="36" spans="1:11" s="21" customFormat="1" ht="13.9">
      <c r="A36" s="12" t="s">
        <v>32</v>
      </c>
      <c r="B36" s="136"/>
      <c r="C36" s="136"/>
      <c r="D36" s="70">
        <f>ROUND(D33/D$25*100,1)</f>
        <v>95</v>
      </c>
      <c r="E36" s="136"/>
      <c r="F36" s="70">
        <f>ROUND(F33/F$25*100,1)</f>
        <v>90.2</v>
      </c>
      <c r="G36" s="136"/>
      <c r="H36"/>
      <c r="I36"/>
      <c r="K36"/>
    </row>
    <row r="37" spans="1:11" s="21" customFormat="1" ht="13.9">
      <c r="A37" s="12" t="s">
        <v>5</v>
      </c>
      <c r="B37" s="137"/>
      <c r="C37" s="137"/>
      <c r="D37" s="12">
        <v>6</v>
      </c>
      <c r="E37" s="137"/>
      <c r="F37" s="12">
        <v>6</v>
      </c>
      <c r="G37" s="137"/>
      <c r="H37"/>
      <c r="I37"/>
      <c r="K37"/>
    </row>
    <row r="38" spans="1:11" ht="13.9">
      <c r="A38" s="3"/>
      <c r="B38" s="3"/>
      <c r="C38" s="3"/>
      <c r="D38" s="3"/>
      <c r="E38" s="3"/>
      <c r="F38" s="37"/>
      <c r="H38"/>
      <c r="I38"/>
      <c r="K38"/>
    </row>
  </sheetData>
  <mergeCells count="26">
    <mergeCell ref="G6:G8"/>
    <mergeCell ref="C6:C8"/>
    <mergeCell ref="G15:G19"/>
    <mergeCell ref="A9:A14"/>
    <mergeCell ref="C9:C14"/>
    <mergeCell ref="B15:B19"/>
    <mergeCell ref="C15:C19"/>
    <mergeCell ref="E15:E19"/>
    <mergeCell ref="B9:B14"/>
    <mergeCell ref="A2:F2"/>
    <mergeCell ref="A6:A8"/>
    <mergeCell ref="B6:B8"/>
    <mergeCell ref="E6:E8"/>
    <mergeCell ref="A21:D21"/>
    <mergeCell ref="A24:A26"/>
    <mergeCell ref="B24:B26"/>
    <mergeCell ref="C24:C26"/>
    <mergeCell ref="E24:E26"/>
    <mergeCell ref="G24:G26"/>
    <mergeCell ref="E33:E37"/>
    <mergeCell ref="G33:G37"/>
    <mergeCell ref="A27:A32"/>
    <mergeCell ref="B27:B32"/>
    <mergeCell ref="C27:C32"/>
    <mergeCell ref="B33:B37"/>
    <mergeCell ref="C33:C37"/>
  </mergeCells>
  <phoneticPr fontId="4" type="noConversion"/>
  <conditionalFormatting sqref="I9:I20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I27:I38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S39"/>
  <sheetViews>
    <sheetView topLeftCell="A13" zoomScaleNormal="100" zoomScaleSheetLayoutView="100" workbookViewId="0">
      <selection activeCell="I36" sqref="I36"/>
    </sheetView>
  </sheetViews>
  <sheetFormatPr defaultColWidth="8.86328125" defaultRowHeight="13.5"/>
  <cols>
    <col min="1" max="2" width="14.1328125" style="1" customWidth="1"/>
    <col min="3" max="3" width="17.46484375" style="1" customWidth="1"/>
    <col min="4" max="4" width="14.1328125" style="102" customWidth="1"/>
    <col min="5" max="5" width="14.1328125" style="1" customWidth="1"/>
    <col min="6" max="6" width="14.1328125" style="102" customWidth="1"/>
    <col min="7" max="7" width="14" style="1" customWidth="1"/>
    <col min="8" max="8" width="8.86328125" style="1"/>
    <col min="9" max="9" width="24" style="106" customWidth="1"/>
    <col min="10" max="18" width="8.86328125" style="1"/>
    <col min="19" max="19" width="19.3984375" style="1" customWidth="1"/>
    <col min="20" max="16384" width="8.86328125" style="1"/>
  </cols>
  <sheetData>
    <row r="2" spans="1:9">
      <c r="A2" s="1" t="s">
        <v>23</v>
      </c>
    </row>
    <row r="4" spans="1:9" s="2" customFormat="1">
      <c r="A4" s="2" t="s">
        <v>127</v>
      </c>
      <c r="D4" s="103"/>
      <c r="F4" s="103"/>
    </row>
    <row r="5" spans="1:9" ht="13.9">
      <c r="A5" s="81" t="s">
        <v>170</v>
      </c>
      <c r="B5" s="50"/>
      <c r="C5" s="50"/>
      <c r="D5" s="104"/>
      <c r="E5" s="50"/>
      <c r="F5" s="103"/>
      <c r="G5" s="2"/>
      <c r="H5" s="26" t="s">
        <v>48</v>
      </c>
      <c r="I5" s="79">
        <v>45903.786111111112</v>
      </c>
    </row>
    <row r="6" spans="1:9" ht="15.75" customHeight="1">
      <c r="A6" s="142" t="s">
        <v>20</v>
      </c>
      <c r="B6" s="142" t="s">
        <v>8</v>
      </c>
      <c r="C6" s="12" t="s">
        <v>3</v>
      </c>
      <c r="D6" s="184" t="s">
        <v>33</v>
      </c>
      <c r="E6" s="12" t="s">
        <v>1</v>
      </c>
      <c r="F6" s="184" t="s">
        <v>33</v>
      </c>
      <c r="G6" s="2"/>
      <c r="H6" s="26" t="s">
        <v>49</v>
      </c>
      <c r="I6" s="79">
        <v>45909.423657407409</v>
      </c>
    </row>
    <row r="7" spans="1:9" ht="15.75" customHeight="1">
      <c r="A7" s="143"/>
      <c r="B7" s="143"/>
      <c r="C7" s="14">
        <v>13.888999999999999</v>
      </c>
      <c r="D7" s="184"/>
      <c r="E7" s="14">
        <v>3472.3539999999998</v>
      </c>
      <c r="F7" s="184"/>
      <c r="G7" s="2"/>
      <c r="H7" s="26" t="s">
        <v>21</v>
      </c>
      <c r="I7" s="80">
        <f>(I6-I5)*24</f>
        <v>135.30111111112637</v>
      </c>
    </row>
    <row r="8" spans="1:9" ht="15.75" customHeight="1">
      <c r="A8" s="144"/>
      <c r="B8" s="144"/>
      <c r="C8" s="51" t="s">
        <v>156</v>
      </c>
      <c r="D8" s="184"/>
      <c r="E8" s="51" t="s">
        <v>157</v>
      </c>
      <c r="F8" s="184"/>
      <c r="G8" s="2"/>
      <c r="H8" s="2"/>
      <c r="I8" s="2"/>
    </row>
    <row r="9" spans="1:9" ht="15.75" customHeight="1">
      <c r="A9" s="138">
        <v>45909</v>
      </c>
      <c r="B9" s="142">
        <v>7</v>
      </c>
      <c r="C9" s="69">
        <v>13.369</v>
      </c>
      <c r="D9" s="70">
        <f t="shared" ref="D9:D14" si="0">ROUND((C9-C$7)/C$7*100,1)</f>
        <v>-3.7</v>
      </c>
      <c r="E9" s="69">
        <v>3109.1170000000002</v>
      </c>
      <c r="F9" s="70">
        <f t="shared" ref="F9:F14" si="1">ROUND((E9-E$7)/E$7*100,1)</f>
        <v>-10.5</v>
      </c>
      <c r="G9"/>
      <c r="H9"/>
      <c r="I9" s="101"/>
    </row>
    <row r="10" spans="1:9" ht="15.75" customHeight="1">
      <c r="A10" s="138"/>
      <c r="B10" s="143"/>
      <c r="C10" s="69">
        <v>13.205</v>
      </c>
      <c r="D10" s="70">
        <f t="shared" si="0"/>
        <v>-4.9000000000000004</v>
      </c>
      <c r="E10" s="69">
        <v>2950.7930000000001</v>
      </c>
      <c r="F10" s="70">
        <f t="shared" si="1"/>
        <v>-15</v>
      </c>
      <c r="G10"/>
      <c r="H10"/>
      <c r="I10" s="2"/>
    </row>
    <row r="11" spans="1:9" ht="15.75" customHeight="1">
      <c r="A11" s="138"/>
      <c r="B11" s="143"/>
      <c r="C11" s="69">
        <v>12.928000000000001</v>
      </c>
      <c r="D11" s="70">
        <f t="shared" si="0"/>
        <v>-6.9</v>
      </c>
      <c r="E11" s="69">
        <v>2945.9760000000001</v>
      </c>
      <c r="F11" s="70">
        <f t="shared" si="1"/>
        <v>-15.2</v>
      </c>
      <c r="G11"/>
      <c r="H11"/>
      <c r="I11" s="2"/>
    </row>
    <row r="12" spans="1:9" ht="15.75" customHeight="1">
      <c r="A12" s="138"/>
      <c r="B12" s="143"/>
      <c r="C12" s="69">
        <v>13.147</v>
      </c>
      <c r="D12" s="70">
        <f t="shared" si="0"/>
        <v>-5.3</v>
      </c>
      <c r="E12" s="69">
        <v>3154.5540000000001</v>
      </c>
      <c r="F12" s="70">
        <f t="shared" si="1"/>
        <v>-9.1999999999999993</v>
      </c>
      <c r="G12"/>
      <c r="H12"/>
      <c r="I12" s="2"/>
    </row>
    <row r="13" spans="1:9" ht="15.75" customHeight="1">
      <c r="A13" s="138"/>
      <c r="B13" s="143"/>
      <c r="C13" s="69">
        <v>14.397</v>
      </c>
      <c r="D13" s="70">
        <f t="shared" si="0"/>
        <v>3.7</v>
      </c>
      <c r="E13" s="69">
        <v>3111.828</v>
      </c>
      <c r="F13" s="70">
        <f t="shared" si="1"/>
        <v>-10.4</v>
      </c>
      <c r="G13"/>
      <c r="H13"/>
      <c r="I13" s="2"/>
    </row>
    <row r="14" spans="1:9" ht="15.75" customHeight="1">
      <c r="A14" s="138"/>
      <c r="B14" s="144"/>
      <c r="C14" s="69">
        <v>13.733000000000001</v>
      </c>
      <c r="D14" s="70">
        <f t="shared" si="0"/>
        <v>-1.1000000000000001</v>
      </c>
      <c r="E14" s="69">
        <v>3120.9639999999999</v>
      </c>
      <c r="F14" s="70">
        <f t="shared" si="1"/>
        <v>-10.1</v>
      </c>
      <c r="G14"/>
      <c r="H14"/>
      <c r="I14" s="2"/>
    </row>
    <row r="15" spans="1:9" ht="15.75" customHeight="1">
      <c r="A15" s="12" t="s">
        <v>14</v>
      </c>
      <c r="B15" s="135"/>
      <c r="C15" s="69">
        <f>ROUND(AVERAGE(C9:C14),3)</f>
        <v>13.462999999999999</v>
      </c>
      <c r="D15" s="180"/>
      <c r="E15" s="69">
        <f>ROUND(AVERAGE(E9:E14),3)</f>
        <v>3065.5390000000002</v>
      </c>
      <c r="F15" s="180"/>
      <c r="G15"/>
      <c r="H15"/>
      <c r="I15" s="2"/>
    </row>
    <row r="16" spans="1:9" ht="15.75" customHeight="1">
      <c r="A16" s="12" t="s">
        <v>4</v>
      </c>
      <c r="B16" s="136"/>
      <c r="C16" s="69">
        <f>ROUND(STDEV(C9:C14),3)</f>
        <v>0.53</v>
      </c>
      <c r="D16" s="181"/>
      <c r="E16" s="69">
        <f>ROUND(STDEV(E9:E14),3)</f>
        <v>92.194999999999993</v>
      </c>
      <c r="F16" s="181"/>
      <c r="G16"/>
      <c r="H16"/>
      <c r="I16" s="2"/>
    </row>
    <row r="17" spans="1:19" ht="15.75" customHeight="1">
      <c r="A17" s="12" t="s">
        <v>31</v>
      </c>
      <c r="B17" s="136"/>
      <c r="C17" s="70">
        <f>ROUND(C16/C15*100,1)</f>
        <v>3.9</v>
      </c>
      <c r="D17" s="181"/>
      <c r="E17" s="70">
        <f>ROUND(E16/E15*100,1)</f>
        <v>3</v>
      </c>
      <c r="F17" s="181"/>
      <c r="G17"/>
      <c r="H17"/>
      <c r="I17" s="2"/>
    </row>
    <row r="18" spans="1:19" ht="15.75" customHeight="1">
      <c r="A18" s="12" t="s">
        <v>32</v>
      </c>
      <c r="B18" s="136"/>
      <c r="C18" s="70">
        <f>ROUND(C15/C$7*100,1)</f>
        <v>96.9</v>
      </c>
      <c r="D18" s="181"/>
      <c r="E18" s="70">
        <f>ROUND(E15/E$7*100,1)</f>
        <v>88.3</v>
      </c>
      <c r="F18" s="181"/>
      <c r="G18"/>
      <c r="H18"/>
      <c r="I18" s="2"/>
    </row>
    <row r="19" spans="1:19" ht="15.75" customHeight="1">
      <c r="A19" s="12" t="s">
        <v>5</v>
      </c>
      <c r="B19" s="137"/>
      <c r="C19" s="12">
        <v>6</v>
      </c>
      <c r="D19" s="182"/>
      <c r="E19" s="12">
        <v>6</v>
      </c>
      <c r="F19" s="182"/>
      <c r="G19"/>
      <c r="H19"/>
      <c r="I19" s="2"/>
    </row>
    <row r="20" spans="1:19" ht="15.6" customHeight="1">
      <c r="A20" s="82"/>
      <c r="D20" s="105"/>
      <c r="E20" s="82"/>
      <c r="F20" s="105"/>
      <c r="G20"/>
      <c r="H20"/>
      <c r="I20" s="107"/>
    </row>
    <row r="21" spans="1:19" ht="13.9">
      <c r="K21" s="117" t="s">
        <v>197</v>
      </c>
    </row>
    <row r="22" spans="1:19" ht="15.75" customHeight="1">
      <c r="A22" s="183"/>
      <c r="B22" s="183"/>
      <c r="C22" s="183"/>
      <c r="D22" s="183"/>
      <c r="E22" s="7"/>
      <c r="H22" s="83"/>
      <c r="I22" s="108"/>
    </row>
    <row r="23" spans="1:19">
      <c r="A23" s="2" t="s">
        <v>162</v>
      </c>
      <c r="B23" s="2"/>
      <c r="C23" s="2"/>
      <c r="D23" s="103"/>
      <c r="E23" s="2"/>
      <c r="F23" s="103"/>
      <c r="G23" s="2"/>
      <c r="H23" s="2"/>
      <c r="I23" s="2"/>
      <c r="K23" s="2" t="s">
        <v>128</v>
      </c>
      <c r="L23" s="2"/>
      <c r="M23" s="2"/>
      <c r="N23" s="103"/>
      <c r="O23" s="2"/>
      <c r="P23" s="103"/>
      <c r="Q23" s="2"/>
      <c r="R23" s="2"/>
      <c r="S23" s="2"/>
    </row>
    <row r="24" spans="1:19" ht="13.9">
      <c r="A24" s="81" t="s">
        <v>168</v>
      </c>
      <c r="B24" s="50"/>
      <c r="C24" s="50"/>
      <c r="D24" s="104"/>
      <c r="E24" s="50"/>
      <c r="F24" s="103"/>
      <c r="H24" s="26" t="s">
        <v>48</v>
      </c>
      <c r="I24" s="79">
        <v>45908.743750000001</v>
      </c>
      <c r="K24" s="81" t="s">
        <v>170</v>
      </c>
      <c r="L24" s="50"/>
      <c r="M24" s="50"/>
      <c r="N24" s="104"/>
      <c r="O24" s="50"/>
      <c r="P24" s="103"/>
      <c r="R24" s="26" t="s">
        <v>48</v>
      </c>
      <c r="S24" s="79">
        <v>45903.786111111112</v>
      </c>
    </row>
    <row r="25" spans="1:19">
      <c r="A25" s="142" t="s">
        <v>20</v>
      </c>
      <c r="B25" s="142" t="s">
        <v>8</v>
      </c>
      <c r="C25" s="12" t="s">
        <v>3</v>
      </c>
      <c r="D25" s="184" t="s">
        <v>33</v>
      </c>
      <c r="E25" s="12" t="s">
        <v>1</v>
      </c>
      <c r="F25" s="184" t="s">
        <v>33</v>
      </c>
      <c r="H25" s="26" t="s">
        <v>49</v>
      </c>
      <c r="I25" s="79">
        <v>45912.610185185185</v>
      </c>
      <c r="K25" s="142" t="s">
        <v>20</v>
      </c>
      <c r="L25" s="142" t="s">
        <v>8</v>
      </c>
      <c r="M25" s="12" t="s">
        <v>3</v>
      </c>
      <c r="N25" s="184" t="s">
        <v>33</v>
      </c>
      <c r="O25" s="12" t="s">
        <v>1</v>
      </c>
      <c r="P25" s="184" t="s">
        <v>33</v>
      </c>
      <c r="R25" s="26" t="s">
        <v>49</v>
      </c>
      <c r="S25" s="79">
        <v>45909.423657407409</v>
      </c>
    </row>
    <row r="26" spans="1:19">
      <c r="A26" s="143"/>
      <c r="B26" s="143"/>
      <c r="C26" s="14">
        <v>16.111000000000001</v>
      </c>
      <c r="D26" s="184"/>
      <c r="E26" s="14">
        <v>4027.6260000000002</v>
      </c>
      <c r="F26" s="184"/>
      <c r="H26" s="26" t="s">
        <v>21</v>
      </c>
      <c r="I26" s="80">
        <f>(I25-I24)*24</f>
        <v>92.794444444414694</v>
      </c>
      <c r="K26" s="143"/>
      <c r="L26" s="143"/>
      <c r="M26" s="14">
        <v>16.111000000000001</v>
      </c>
      <c r="N26" s="184"/>
      <c r="O26" s="14">
        <v>4027.6260000000002</v>
      </c>
      <c r="P26" s="184"/>
      <c r="R26" s="26" t="s">
        <v>21</v>
      </c>
      <c r="S26" s="80">
        <f>(S25-S24)*24</f>
        <v>135.30111111112637</v>
      </c>
    </row>
    <row r="27" spans="1:19">
      <c r="A27" s="144"/>
      <c r="B27" s="144"/>
      <c r="C27" s="51" t="s">
        <v>157</v>
      </c>
      <c r="D27" s="184"/>
      <c r="E27" s="51" t="s">
        <v>157</v>
      </c>
      <c r="F27" s="184"/>
      <c r="H27" s="2"/>
      <c r="I27" s="2"/>
      <c r="K27" s="144"/>
      <c r="L27" s="144"/>
      <c r="M27" s="51" t="s">
        <v>157</v>
      </c>
      <c r="N27" s="184"/>
      <c r="O27" s="51" t="s">
        <v>157</v>
      </c>
      <c r="P27" s="184"/>
      <c r="R27" s="2"/>
      <c r="S27" s="2"/>
    </row>
    <row r="28" spans="1:19" ht="13.9">
      <c r="A28" s="138">
        <v>45912</v>
      </c>
      <c r="B28" s="142">
        <v>8</v>
      </c>
      <c r="C28" s="69">
        <v>17.238</v>
      </c>
      <c r="D28" s="70">
        <f>ROUND((C28-C$26)/C$26*100,1)</f>
        <v>7</v>
      </c>
      <c r="E28" s="69">
        <v>4135.62</v>
      </c>
      <c r="F28" s="70">
        <f>ROUND((E28-E$26)/E$26*100,1)</f>
        <v>2.7</v>
      </c>
      <c r="G28"/>
      <c r="H28"/>
      <c r="I28" s="101"/>
      <c r="K28" s="138">
        <v>45909</v>
      </c>
      <c r="L28" s="142">
        <v>7</v>
      </c>
      <c r="M28" s="69">
        <v>13.833</v>
      </c>
      <c r="N28" s="70">
        <f t="shared" ref="N28:N33" si="2">ROUND((M28-M$26)/M$26*100,1)</f>
        <v>-14.1</v>
      </c>
      <c r="O28" s="69">
        <v>3167.2849999999999</v>
      </c>
      <c r="P28" s="70">
        <f t="shared" ref="P28:P33" si="3">ROUND((O28-O$26)/O$26*100,1)</f>
        <v>-21.4</v>
      </c>
      <c r="Q28"/>
      <c r="R28"/>
      <c r="S28" s="101"/>
    </row>
    <row r="29" spans="1:19" ht="13.9">
      <c r="A29" s="138"/>
      <c r="B29" s="143"/>
      <c r="C29" s="69">
        <v>17.562000000000001</v>
      </c>
      <c r="D29" s="70">
        <f t="shared" ref="D29:F33" si="4">ROUND((C29-C$26)/C$26*100,1)</f>
        <v>9</v>
      </c>
      <c r="E29" s="69">
        <v>3897.3910000000001</v>
      </c>
      <c r="F29" s="70">
        <f t="shared" si="4"/>
        <v>-3.2</v>
      </c>
      <c r="G29"/>
      <c r="H29"/>
      <c r="I29" s="2"/>
      <c r="K29" s="138"/>
      <c r="L29" s="143"/>
      <c r="M29" s="69">
        <v>13.957000000000001</v>
      </c>
      <c r="N29" s="70">
        <f t="shared" si="2"/>
        <v>-13.4</v>
      </c>
      <c r="O29" s="69">
        <v>3279.6529999999998</v>
      </c>
      <c r="P29" s="70">
        <f t="shared" si="3"/>
        <v>-18.600000000000001</v>
      </c>
      <c r="Q29"/>
      <c r="R29"/>
      <c r="S29" s="2"/>
    </row>
    <row r="30" spans="1:19" ht="13.9">
      <c r="A30" s="138"/>
      <c r="B30" s="143"/>
      <c r="C30" s="69">
        <v>17.314</v>
      </c>
      <c r="D30" s="70">
        <f t="shared" si="4"/>
        <v>7.5</v>
      </c>
      <c r="E30" s="69">
        <v>4132.2070000000003</v>
      </c>
      <c r="F30" s="70">
        <f t="shared" si="4"/>
        <v>2.6</v>
      </c>
      <c r="G30"/>
      <c r="H30"/>
      <c r="I30" s="2"/>
      <c r="K30" s="138"/>
      <c r="L30" s="143"/>
      <c r="M30" s="69">
        <v>13.153</v>
      </c>
      <c r="N30" s="70">
        <f t="shared" si="2"/>
        <v>-18.399999999999999</v>
      </c>
      <c r="O30" s="69">
        <v>3168.3809999999999</v>
      </c>
      <c r="P30" s="70">
        <f t="shared" si="3"/>
        <v>-21.3</v>
      </c>
      <c r="Q30"/>
      <c r="R30"/>
      <c r="S30" s="2"/>
    </row>
    <row r="31" spans="1:19" ht="13.9">
      <c r="A31" s="138"/>
      <c r="B31" s="143"/>
      <c r="C31" s="69">
        <v>17.204999999999998</v>
      </c>
      <c r="D31" s="70">
        <f t="shared" si="4"/>
        <v>6.8</v>
      </c>
      <c r="E31" s="69">
        <v>4188.7250000000004</v>
      </c>
      <c r="F31" s="70">
        <f t="shared" si="4"/>
        <v>4</v>
      </c>
      <c r="G31"/>
      <c r="H31"/>
      <c r="I31" s="2"/>
      <c r="K31" s="138"/>
      <c r="L31" s="143"/>
      <c r="M31" s="69">
        <v>13.685</v>
      </c>
      <c r="N31" s="70">
        <f t="shared" si="2"/>
        <v>-15.1</v>
      </c>
      <c r="O31" s="69">
        <v>3346.0140000000001</v>
      </c>
      <c r="P31" s="70">
        <f t="shared" si="3"/>
        <v>-16.899999999999999</v>
      </c>
      <c r="Q31"/>
      <c r="R31"/>
      <c r="S31" s="2"/>
    </row>
    <row r="32" spans="1:19" ht="13.9">
      <c r="A32" s="138"/>
      <c r="B32" s="143"/>
      <c r="C32" s="69">
        <v>16.228999999999999</v>
      </c>
      <c r="D32" s="70">
        <f t="shared" si="4"/>
        <v>0.7</v>
      </c>
      <c r="E32" s="69">
        <v>4021.828</v>
      </c>
      <c r="F32" s="70">
        <f t="shared" si="4"/>
        <v>-0.1</v>
      </c>
      <c r="G32"/>
      <c r="H32"/>
      <c r="I32" s="2"/>
      <c r="K32" s="138"/>
      <c r="L32" s="143"/>
      <c r="M32" s="69">
        <v>14.57</v>
      </c>
      <c r="N32" s="70">
        <f t="shared" si="2"/>
        <v>-9.6</v>
      </c>
      <c r="O32" s="69">
        <v>3348.8330000000001</v>
      </c>
      <c r="P32" s="70">
        <f t="shared" si="3"/>
        <v>-16.899999999999999</v>
      </c>
      <c r="Q32"/>
      <c r="R32"/>
      <c r="S32" s="2"/>
    </row>
    <row r="33" spans="1:19" ht="13.9">
      <c r="A33" s="138"/>
      <c r="B33" s="144"/>
      <c r="C33" s="69">
        <v>17.565000000000001</v>
      </c>
      <c r="D33" s="70">
        <f t="shared" si="4"/>
        <v>9</v>
      </c>
      <c r="E33" s="69">
        <v>3949.6129999999998</v>
      </c>
      <c r="F33" s="70">
        <f t="shared" si="4"/>
        <v>-1.9</v>
      </c>
      <c r="G33"/>
      <c r="H33"/>
      <c r="I33" s="2"/>
      <c r="K33" s="138"/>
      <c r="L33" s="144"/>
      <c r="M33" s="69">
        <v>14.023</v>
      </c>
      <c r="N33" s="70">
        <f t="shared" si="2"/>
        <v>-13</v>
      </c>
      <c r="O33" s="69">
        <v>3422.0219999999999</v>
      </c>
      <c r="P33" s="70">
        <f t="shared" si="3"/>
        <v>-15</v>
      </c>
      <c r="Q33"/>
      <c r="R33"/>
      <c r="S33" s="2"/>
    </row>
    <row r="34" spans="1:19" ht="13.9">
      <c r="A34" s="12" t="s">
        <v>14</v>
      </c>
      <c r="B34" s="135"/>
      <c r="C34" s="69">
        <f>ROUND(AVERAGE(C28:C33),3)</f>
        <v>17.186</v>
      </c>
      <c r="D34" s="180"/>
      <c r="E34" s="69">
        <f>ROUND(AVERAGE(E28:E33),3)</f>
        <v>4054.2310000000002</v>
      </c>
      <c r="F34" s="180"/>
      <c r="G34"/>
      <c r="H34"/>
      <c r="I34" s="2"/>
      <c r="K34" s="12" t="s">
        <v>14</v>
      </c>
      <c r="L34" s="135"/>
      <c r="M34" s="69">
        <f>ROUND(AVERAGE(M28:M33),3)</f>
        <v>13.87</v>
      </c>
      <c r="N34" s="180"/>
      <c r="O34" s="69">
        <f>ROUND(AVERAGE(O28:O33),3)</f>
        <v>3288.6979999999999</v>
      </c>
      <c r="P34" s="180"/>
      <c r="Q34"/>
      <c r="R34"/>
      <c r="S34" s="2"/>
    </row>
    <row r="35" spans="1:19" ht="13.9">
      <c r="A35" s="12" t="s">
        <v>4</v>
      </c>
      <c r="B35" s="136"/>
      <c r="C35" s="69">
        <f>ROUND(STDEV(C28:C33),3)</f>
        <v>0.49399999999999999</v>
      </c>
      <c r="D35" s="181"/>
      <c r="E35" s="69">
        <f>ROUND(STDEV(E28:E33),3)</f>
        <v>116.092</v>
      </c>
      <c r="F35" s="181"/>
      <c r="G35"/>
      <c r="H35"/>
      <c r="I35" s="2"/>
      <c r="K35" s="12" t="s">
        <v>4</v>
      </c>
      <c r="L35" s="136"/>
      <c r="M35" s="69">
        <f>ROUND(STDEV(M28:M33),3)</f>
        <v>0.46300000000000002</v>
      </c>
      <c r="N35" s="181"/>
      <c r="O35" s="69">
        <f>ROUND(STDEV(O28:O33),3)</f>
        <v>103.9</v>
      </c>
      <c r="P35" s="181"/>
      <c r="Q35"/>
      <c r="R35"/>
      <c r="S35" s="2"/>
    </row>
    <row r="36" spans="1:19" ht="13.9">
      <c r="A36" s="12" t="s">
        <v>40</v>
      </c>
      <c r="B36" s="136"/>
      <c r="C36" s="70">
        <f>ROUND(C35/C34*100,1)</f>
        <v>2.9</v>
      </c>
      <c r="D36" s="181"/>
      <c r="E36" s="70">
        <f>ROUND(E35/E34*100,1)</f>
        <v>2.9</v>
      </c>
      <c r="F36" s="181"/>
      <c r="G36"/>
      <c r="H36"/>
      <c r="I36" s="2"/>
      <c r="K36" s="12" t="s">
        <v>40</v>
      </c>
      <c r="L36" s="136"/>
      <c r="M36" s="70">
        <f>ROUND(M35/M34*100,1)</f>
        <v>3.3</v>
      </c>
      <c r="N36" s="181"/>
      <c r="O36" s="70">
        <f>ROUND(O35/O34*100,1)</f>
        <v>3.2</v>
      </c>
      <c r="P36" s="181"/>
      <c r="Q36"/>
      <c r="R36"/>
      <c r="S36" s="2"/>
    </row>
    <row r="37" spans="1:19" ht="27">
      <c r="A37" s="12" t="s">
        <v>41</v>
      </c>
      <c r="B37" s="136"/>
      <c r="C37" s="70">
        <f>ROUND(C34/C$26*100,1)</f>
        <v>106.7</v>
      </c>
      <c r="D37" s="181"/>
      <c r="E37" s="70">
        <f>ROUND(E34/E$26*100,1)</f>
        <v>100.7</v>
      </c>
      <c r="F37" s="181"/>
      <c r="G37"/>
      <c r="H37"/>
      <c r="I37" s="2"/>
      <c r="K37" s="12" t="s">
        <v>41</v>
      </c>
      <c r="L37" s="136"/>
      <c r="M37" s="70">
        <f>ROUND(M34/M$26*100,1)</f>
        <v>86.1</v>
      </c>
      <c r="N37" s="181"/>
      <c r="O37" s="70">
        <f>ROUND(O34/O$26*100,1)</f>
        <v>81.7</v>
      </c>
      <c r="P37" s="181"/>
      <c r="Q37"/>
      <c r="R37"/>
      <c r="S37" s="2"/>
    </row>
    <row r="38" spans="1:19" ht="13.9">
      <c r="A38" s="12" t="s">
        <v>5</v>
      </c>
      <c r="B38" s="137"/>
      <c r="C38" s="12">
        <v>6</v>
      </c>
      <c r="D38" s="182"/>
      <c r="E38" s="12">
        <v>6</v>
      </c>
      <c r="F38" s="182"/>
      <c r="G38"/>
      <c r="H38"/>
      <c r="I38" s="2"/>
      <c r="K38" s="12" t="s">
        <v>5</v>
      </c>
      <c r="L38" s="137"/>
      <c r="M38" s="12">
        <v>6</v>
      </c>
      <c r="N38" s="182"/>
      <c r="O38" s="12">
        <v>6</v>
      </c>
      <c r="P38" s="182"/>
      <c r="Q38"/>
      <c r="R38"/>
      <c r="S38" s="2"/>
    </row>
    <row r="39" spans="1:19" ht="13.9">
      <c r="A39" s="183"/>
      <c r="B39" s="183"/>
      <c r="C39" s="183"/>
      <c r="D39" s="183"/>
      <c r="E39" s="7"/>
      <c r="G39"/>
      <c r="H39"/>
    </row>
  </sheetData>
  <mergeCells count="29">
    <mergeCell ref="L34:L38"/>
    <mergeCell ref="N34:N38"/>
    <mergeCell ref="P34:P38"/>
    <mergeCell ref="F6:F8"/>
    <mergeCell ref="D15:D19"/>
    <mergeCell ref="F15:F19"/>
    <mergeCell ref="P25:P27"/>
    <mergeCell ref="K25:K27"/>
    <mergeCell ref="L25:L27"/>
    <mergeCell ref="N25:N27"/>
    <mergeCell ref="K28:K33"/>
    <mergeCell ref="L28:L33"/>
    <mergeCell ref="A22:D22"/>
    <mergeCell ref="D6:D8"/>
    <mergeCell ref="B15:B19"/>
    <mergeCell ref="A9:A14"/>
    <mergeCell ref="B9:B14"/>
    <mergeCell ref="A6:A8"/>
    <mergeCell ref="B6:B8"/>
    <mergeCell ref="B34:B38"/>
    <mergeCell ref="D34:D38"/>
    <mergeCell ref="F34:F38"/>
    <mergeCell ref="A39:D39"/>
    <mergeCell ref="A25:A27"/>
    <mergeCell ref="B25:B27"/>
    <mergeCell ref="D25:D27"/>
    <mergeCell ref="F25:F27"/>
    <mergeCell ref="A28:A33"/>
    <mergeCell ref="B28:B33"/>
  </mergeCells>
  <phoneticPr fontId="4" type="noConversion"/>
  <conditionalFormatting sqref="H9:H20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H28:H39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R28:R38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62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H42"/>
  <sheetViews>
    <sheetView zoomScaleNormal="100" zoomScaleSheetLayoutView="100" workbookViewId="0">
      <selection activeCell="T32" sqref="T32"/>
    </sheetView>
  </sheetViews>
  <sheetFormatPr defaultColWidth="8.86328125" defaultRowHeight="13.5"/>
  <cols>
    <col min="1" max="7" width="12.1328125" style="1" customWidth="1"/>
    <col min="8" max="16384" width="8.86328125" style="1"/>
  </cols>
  <sheetData>
    <row r="2" spans="1:8" ht="13.9">
      <c r="A2" s="196" t="s">
        <v>100</v>
      </c>
      <c r="B2" s="196"/>
      <c r="C2" s="196"/>
      <c r="D2" s="196"/>
      <c r="E2" s="196"/>
      <c r="F2" s="196"/>
    </row>
    <row r="3" spans="1:8" ht="13.5" customHeight="1">
      <c r="A3" s="43"/>
      <c r="B3" s="43"/>
      <c r="C3" s="43"/>
      <c r="D3" s="43"/>
      <c r="E3" s="43"/>
      <c r="F3" s="43"/>
    </row>
    <row r="4" spans="1:8" ht="13.5" customHeight="1">
      <c r="A4" s="1" t="s">
        <v>127</v>
      </c>
    </row>
    <row r="5" spans="1:8" ht="13.9">
      <c r="A5" s="81" t="s">
        <v>173</v>
      </c>
      <c r="B5" s="2"/>
      <c r="C5" s="2"/>
      <c r="D5" s="2"/>
      <c r="E5" s="2"/>
      <c r="F5" s="2"/>
      <c r="G5" s="2"/>
      <c r="H5" s="2"/>
    </row>
    <row r="6" spans="1:8" ht="15" customHeight="1">
      <c r="A6" s="142" t="s">
        <v>99</v>
      </c>
      <c r="B6" s="142" t="s">
        <v>8</v>
      </c>
      <c r="C6" s="142" t="s">
        <v>15</v>
      </c>
      <c r="D6" s="194" t="s">
        <v>18</v>
      </c>
      <c r="E6" s="194"/>
      <c r="F6" s="194"/>
      <c r="G6" s="194"/>
      <c r="H6" s="2"/>
    </row>
    <row r="7" spans="1:8">
      <c r="A7" s="143"/>
      <c r="B7" s="143"/>
      <c r="C7" s="143"/>
      <c r="D7" s="109">
        <v>13.888999999999999</v>
      </c>
      <c r="E7" s="51" t="s">
        <v>156</v>
      </c>
      <c r="F7" s="109">
        <v>3472.3539999999998</v>
      </c>
      <c r="G7" s="51" t="s">
        <v>156</v>
      </c>
      <c r="H7" s="2"/>
    </row>
    <row r="8" spans="1:8" ht="15" customHeight="1">
      <c r="A8" s="143"/>
      <c r="B8" s="143"/>
      <c r="C8" s="143"/>
      <c r="D8" s="144" t="s">
        <v>19</v>
      </c>
      <c r="E8" s="195"/>
      <c r="F8" s="144" t="s">
        <v>19</v>
      </c>
      <c r="G8" s="144"/>
      <c r="H8" s="2"/>
    </row>
    <row r="9" spans="1:8" ht="15" customHeight="1">
      <c r="A9" s="144"/>
      <c r="B9" s="144"/>
      <c r="C9" s="144"/>
      <c r="D9" s="12" t="s">
        <v>17</v>
      </c>
      <c r="E9" s="12" t="s">
        <v>16</v>
      </c>
      <c r="F9" s="12" t="s">
        <v>17</v>
      </c>
      <c r="G9" s="12" t="s">
        <v>16</v>
      </c>
      <c r="H9" s="2"/>
    </row>
    <row r="10" spans="1:8" ht="15" customHeight="1">
      <c r="A10" s="186">
        <v>45907</v>
      </c>
      <c r="B10" s="142">
        <v>5</v>
      </c>
      <c r="C10" s="12">
        <v>1</v>
      </c>
      <c r="D10" s="49">
        <v>8.7128999999999998E-2</v>
      </c>
      <c r="E10" s="49">
        <v>9.8335000000000006E-2</v>
      </c>
      <c r="F10" s="49">
        <v>18.857294</v>
      </c>
      <c r="G10" s="49">
        <v>19.191333</v>
      </c>
      <c r="H10" s="2"/>
    </row>
    <row r="11" spans="1:8" ht="15" customHeight="1">
      <c r="A11" s="187"/>
      <c r="B11" s="143"/>
      <c r="C11" s="12">
        <v>2</v>
      </c>
      <c r="D11" s="49">
        <v>8.1758999999999998E-2</v>
      </c>
      <c r="E11" s="49">
        <v>8.7221999999999994E-2</v>
      </c>
      <c r="F11" s="49">
        <v>17.304546999999999</v>
      </c>
      <c r="G11" s="49">
        <v>17.920752</v>
      </c>
      <c r="H11" s="2"/>
    </row>
    <row r="12" spans="1:8" ht="15" customHeight="1">
      <c r="A12" s="187"/>
      <c r="B12" s="143"/>
      <c r="C12" s="12">
        <v>3</v>
      </c>
      <c r="D12" s="49">
        <v>7.6035000000000005E-2</v>
      </c>
      <c r="E12" s="49">
        <v>9.2689999999999995E-2</v>
      </c>
      <c r="F12" s="49">
        <v>17.728566000000001</v>
      </c>
      <c r="G12" s="49">
        <v>17.068127</v>
      </c>
      <c r="H12" s="2"/>
    </row>
    <row r="13" spans="1:8" ht="15" customHeight="1">
      <c r="A13" s="187"/>
      <c r="B13" s="143"/>
      <c r="C13" s="12">
        <v>4</v>
      </c>
      <c r="D13" s="49">
        <v>8.2813999999999999E-2</v>
      </c>
      <c r="E13" s="49">
        <v>8.7725999999999998E-2</v>
      </c>
      <c r="F13" s="49">
        <v>17.734929000000001</v>
      </c>
      <c r="G13" s="49">
        <v>17.505890000000001</v>
      </c>
      <c r="H13" s="2"/>
    </row>
    <row r="14" spans="1:8" ht="15" customHeight="1">
      <c r="A14" s="187"/>
      <c r="B14" s="143"/>
      <c r="C14" s="12">
        <v>5</v>
      </c>
      <c r="D14" s="49">
        <v>8.3714999999999998E-2</v>
      </c>
      <c r="E14" s="49">
        <v>8.5515999999999995E-2</v>
      </c>
      <c r="F14" s="49">
        <v>17.730153999999999</v>
      </c>
      <c r="G14" s="49">
        <v>17.594569</v>
      </c>
      <c r="H14" s="2"/>
    </row>
    <row r="15" spans="1:8" ht="15" customHeight="1">
      <c r="A15" s="187"/>
      <c r="B15" s="143"/>
      <c r="C15" s="42">
        <v>6</v>
      </c>
      <c r="D15" s="49">
        <v>8.0093999999999999E-2</v>
      </c>
      <c r="E15" s="49">
        <v>8.6513000000000007E-2</v>
      </c>
      <c r="F15" s="49">
        <v>19.395350000000001</v>
      </c>
      <c r="G15" s="49">
        <v>17.615414999999999</v>
      </c>
      <c r="H15" s="2"/>
    </row>
    <row r="16" spans="1:8" ht="15" customHeight="1">
      <c r="A16" s="12" t="s">
        <v>14</v>
      </c>
      <c r="B16" s="188"/>
      <c r="C16" s="189"/>
      <c r="D16" s="49">
        <f>ROUND(AVERAGE(D10:D15),6)</f>
        <v>8.1923999999999997E-2</v>
      </c>
      <c r="E16" s="49">
        <f>ROUND(AVERAGE(E10:E15),6)</f>
        <v>8.9666999999999997E-2</v>
      </c>
      <c r="F16" s="49">
        <f>ROUND(AVERAGE(F10:F15),6)</f>
        <v>18.125139999999998</v>
      </c>
      <c r="G16" s="49">
        <f>ROUND(AVERAGE(G10:G15),6)</f>
        <v>17.816013999999999</v>
      </c>
    </row>
    <row r="17" spans="1:8" ht="15" customHeight="1">
      <c r="A17" s="12" t="s">
        <v>4</v>
      </c>
      <c r="B17" s="190"/>
      <c r="C17" s="191"/>
      <c r="D17" s="49">
        <f>ROUND(STDEV(D10:D15),6)</f>
        <v>3.7190000000000001E-3</v>
      </c>
      <c r="E17" s="49">
        <f>ROUND(STDEV(E10:E15),6)</f>
        <v>4.9230000000000003E-3</v>
      </c>
      <c r="F17" s="49">
        <f>ROUND(STDEV(F10:F15),6)</f>
        <v>0.810975</v>
      </c>
      <c r="G17" s="49">
        <f>ROUND(STDEV(G10:G15),6)</f>
        <v>0.72763500000000003</v>
      </c>
    </row>
    <row r="18" spans="1:8" ht="15" customHeight="1">
      <c r="A18" s="12" t="s">
        <v>101</v>
      </c>
      <c r="B18" s="190"/>
      <c r="C18" s="191"/>
      <c r="D18" s="70">
        <f>ROUND(D17/D16*100,1)</f>
        <v>4.5</v>
      </c>
      <c r="E18" s="70">
        <f>ROUND(E17/E16*100,1)</f>
        <v>5.5</v>
      </c>
      <c r="F18" s="70">
        <f>ROUND(F17/F16*100,1)</f>
        <v>4.5</v>
      </c>
      <c r="G18" s="70">
        <f>ROUND(G17/G16*100,1)</f>
        <v>4.0999999999999996</v>
      </c>
    </row>
    <row r="19" spans="1:8" ht="15" customHeight="1">
      <c r="A19" s="12" t="s">
        <v>102</v>
      </c>
      <c r="B19" s="192"/>
      <c r="C19" s="193"/>
      <c r="D19" s="185">
        <f>ROUND((D16-E16)/E16*100,1)</f>
        <v>-8.6</v>
      </c>
      <c r="E19" s="185"/>
      <c r="F19" s="185">
        <f>ROUND((F16-G16)/G16*100,1)</f>
        <v>1.7</v>
      </c>
      <c r="G19" s="185"/>
    </row>
    <row r="20" spans="1:8" ht="15" customHeight="1">
      <c r="A20" s="4"/>
      <c r="B20" s="8"/>
      <c r="C20" s="8"/>
      <c r="D20" s="7"/>
      <c r="E20" s="7"/>
      <c r="F20" s="7"/>
      <c r="G20" s="7"/>
    </row>
    <row r="21" spans="1:8" ht="15" customHeight="1"/>
    <row r="22" spans="1:8">
      <c r="A22" s="1" t="s">
        <v>128</v>
      </c>
    </row>
    <row r="23" spans="1:8" ht="13.9">
      <c r="A23" s="81" t="s">
        <v>173</v>
      </c>
      <c r="B23" s="2"/>
      <c r="C23" s="2"/>
      <c r="D23" s="2"/>
      <c r="E23" s="2"/>
      <c r="F23" s="2"/>
      <c r="G23" s="2"/>
      <c r="H23" s="2"/>
    </row>
    <row r="24" spans="1:8" ht="15" customHeight="1">
      <c r="A24" s="142" t="s">
        <v>99</v>
      </c>
      <c r="B24" s="142" t="s">
        <v>8</v>
      </c>
      <c r="C24" s="142" t="s">
        <v>15</v>
      </c>
      <c r="D24" s="194" t="s">
        <v>18</v>
      </c>
      <c r="E24" s="194"/>
      <c r="F24" s="194"/>
      <c r="G24" s="194"/>
      <c r="H24" s="2"/>
    </row>
    <row r="25" spans="1:8">
      <c r="A25" s="143"/>
      <c r="B25" s="143"/>
      <c r="C25" s="143"/>
      <c r="D25" s="109">
        <v>16.111000000000001</v>
      </c>
      <c r="E25" s="51" t="s">
        <v>156</v>
      </c>
      <c r="F25" s="109">
        <v>4027.6260000000002</v>
      </c>
      <c r="G25" s="51" t="s">
        <v>156</v>
      </c>
      <c r="H25" s="2"/>
    </row>
    <row r="26" spans="1:8" ht="15" customHeight="1">
      <c r="A26" s="143"/>
      <c r="B26" s="143"/>
      <c r="C26" s="143"/>
      <c r="D26" s="144" t="s">
        <v>19</v>
      </c>
      <c r="E26" s="195"/>
      <c r="F26" s="144" t="s">
        <v>19</v>
      </c>
      <c r="G26" s="144"/>
      <c r="H26" s="2"/>
    </row>
    <row r="27" spans="1:8" ht="15" customHeight="1">
      <c r="A27" s="144"/>
      <c r="B27" s="144"/>
      <c r="C27" s="144"/>
      <c r="D27" s="12" t="s">
        <v>17</v>
      </c>
      <c r="E27" s="12" t="s">
        <v>16</v>
      </c>
      <c r="F27" s="12" t="s">
        <v>103</v>
      </c>
      <c r="G27" s="12" t="s">
        <v>16</v>
      </c>
      <c r="H27" s="2"/>
    </row>
    <row r="28" spans="1:8" ht="15" customHeight="1">
      <c r="A28" s="186">
        <v>45907</v>
      </c>
      <c r="B28" s="142">
        <v>5</v>
      </c>
      <c r="C28" s="12">
        <v>1</v>
      </c>
      <c r="D28" s="49">
        <v>7.0223999999999995E-2</v>
      </c>
      <c r="E28" s="49">
        <v>7.8925999999999996E-2</v>
      </c>
      <c r="F28" s="49">
        <v>13.55894</v>
      </c>
      <c r="G28" s="49">
        <v>15.976932</v>
      </c>
      <c r="H28" s="2"/>
    </row>
    <row r="29" spans="1:8" ht="15" customHeight="1">
      <c r="A29" s="187"/>
      <c r="B29" s="143"/>
      <c r="C29" s="12">
        <v>2</v>
      </c>
      <c r="D29" s="49">
        <v>6.0949000000000003E-2</v>
      </c>
      <c r="E29" s="49">
        <v>6.5609000000000001E-2</v>
      </c>
      <c r="F29" s="49">
        <v>13.979825999999999</v>
      </c>
      <c r="G29" s="49">
        <v>14.686691</v>
      </c>
      <c r="H29" s="2"/>
    </row>
    <row r="30" spans="1:8" ht="15" customHeight="1">
      <c r="A30" s="187"/>
      <c r="B30" s="143"/>
      <c r="C30" s="12">
        <v>3</v>
      </c>
      <c r="D30" s="49">
        <v>6.0526000000000003E-2</v>
      </c>
      <c r="E30" s="49">
        <v>7.6423000000000005E-2</v>
      </c>
      <c r="F30" s="49">
        <v>13.41385</v>
      </c>
      <c r="G30" s="49">
        <v>15.438812</v>
      </c>
      <c r="H30" s="2"/>
    </row>
    <row r="31" spans="1:8" ht="15" customHeight="1">
      <c r="A31" s="187"/>
      <c r="B31" s="143"/>
      <c r="C31" s="12">
        <v>4</v>
      </c>
      <c r="D31" s="49">
        <v>6.6527000000000003E-2</v>
      </c>
      <c r="E31" s="49">
        <v>7.0037000000000002E-2</v>
      </c>
      <c r="F31" s="49">
        <v>14.631747000000001</v>
      </c>
      <c r="G31" s="49">
        <v>14.301121999999999</v>
      </c>
      <c r="H31" s="2"/>
    </row>
    <row r="32" spans="1:8" ht="15" customHeight="1">
      <c r="A32" s="187"/>
      <c r="B32" s="143"/>
      <c r="C32" s="12">
        <v>5</v>
      </c>
      <c r="D32" s="49">
        <v>6.4004000000000005E-2</v>
      </c>
      <c r="E32" s="49">
        <v>7.1207999999999994E-2</v>
      </c>
      <c r="F32" s="49">
        <v>15.094153</v>
      </c>
      <c r="G32" s="49">
        <v>14.141749000000001</v>
      </c>
      <c r="H32" s="2"/>
    </row>
    <row r="33" spans="1:8" ht="15" customHeight="1">
      <c r="A33" s="187"/>
      <c r="B33" s="143"/>
      <c r="C33" s="42">
        <v>6</v>
      </c>
      <c r="D33" s="49">
        <v>6.1321000000000001E-2</v>
      </c>
      <c r="E33" s="49">
        <v>6.7236000000000004E-2</v>
      </c>
      <c r="F33" s="49">
        <v>16.316313000000001</v>
      </c>
      <c r="G33" s="49">
        <v>14.445994000000001</v>
      </c>
      <c r="H33" s="2"/>
    </row>
    <row r="34" spans="1:8" ht="15" customHeight="1">
      <c r="A34" s="12" t="s">
        <v>14</v>
      </c>
      <c r="B34" s="188"/>
      <c r="C34" s="189"/>
      <c r="D34" s="49">
        <f>ROUND(AVERAGE(D28:D33),6)</f>
        <v>6.3924999999999996E-2</v>
      </c>
      <c r="E34" s="49">
        <f>ROUND(AVERAGE(E28:E33),6)</f>
        <v>7.1572999999999998E-2</v>
      </c>
      <c r="F34" s="49">
        <f>ROUND(AVERAGE(F28:F33),6)</f>
        <v>14.499138</v>
      </c>
      <c r="G34" s="49">
        <f>ROUND(AVERAGE(G28:G33),6)</f>
        <v>14.831882999999999</v>
      </c>
    </row>
    <row r="35" spans="1:8" ht="15" customHeight="1">
      <c r="A35" s="12" t="s">
        <v>4</v>
      </c>
      <c r="B35" s="190"/>
      <c r="C35" s="191"/>
      <c r="D35" s="49">
        <f>ROUND(STDEV(D28:D33),6)</f>
        <v>3.8379999999999998E-3</v>
      </c>
      <c r="E35" s="49">
        <f>ROUND(STDEV(E28:E33),6)</f>
        <v>5.1859999999999996E-3</v>
      </c>
      <c r="F35" s="49">
        <f>ROUND(STDEV(F28:F33),6)</f>
        <v>1.095925</v>
      </c>
      <c r="G35" s="49">
        <f>ROUND(STDEV(G28:G33),6)</f>
        <v>0.72214699999999998</v>
      </c>
    </row>
    <row r="36" spans="1:8" ht="15" customHeight="1">
      <c r="A36" s="12" t="s">
        <v>101</v>
      </c>
      <c r="B36" s="190"/>
      <c r="C36" s="191"/>
      <c r="D36" s="70">
        <f>ROUND(D35/D34*100,1)</f>
        <v>6</v>
      </c>
      <c r="E36" s="70">
        <f>ROUND(E35/E34*100,1)</f>
        <v>7.2</v>
      </c>
      <c r="F36" s="70">
        <f>ROUND(F35/F34*100,1)</f>
        <v>7.6</v>
      </c>
      <c r="G36" s="70">
        <f>ROUND(G35/G34*100,1)</f>
        <v>4.9000000000000004</v>
      </c>
    </row>
    <row r="37" spans="1:8" ht="15" customHeight="1">
      <c r="A37" s="12" t="s">
        <v>102</v>
      </c>
      <c r="B37" s="192"/>
      <c r="C37" s="193"/>
      <c r="D37" s="185">
        <f>ROUND((D34-E34)/E34*100,1)</f>
        <v>-10.7</v>
      </c>
      <c r="E37" s="185"/>
      <c r="F37" s="185">
        <f>ROUND((F34-G34)/G34*100,1)</f>
        <v>-2.2000000000000002</v>
      </c>
      <c r="G37" s="185"/>
    </row>
    <row r="41" spans="1:8">
      <c r="B41" s="2"/>
    </row>
    <row r="42" spans="1:8">
      <c r="B42" s="2"/>
    </row>
  </sheetData>
  <mergeCells count="23">
    <mergeCell ref="A2:F2"/>
    <mergeCell ref="A6:A9"/>
    <mergeCell ref="B6:B9"/>
    <mergeCell ref="C6:C9"/>
    <mergeCell ref="F8:G8"/>
    <mergeCell ref="D6:G6"/>
    <mergeCell ref="D8:E8"/>
    <mergeCell ref="F37:G37"/>
    <mergeCell ref="A10:A15"/>
    <mergeCell ref="B10:B15"/>
    <mergeCell ref="D19:E19"/>
    <mergeCell ref="B16:C19"/>
    <mergeCell ref="D37:E37"/>
    <mergeCell ref="C24:C27"/>
    <mergeCell ref="D24:G24"/>
    <mergeCell ref="D26:E26"/>
    <mergeCell ref="F26:G26"/>
    <mergeCell ref="F19:G19"/>
    <mergeCell ref="A24:A27"/>
    <mergeCell ref="B24:B27"/>
    <mergeCell ref="A28:A33"/>
    <mergeCell ref="B28:B33"/>
    <mergeCell ref="B34:C3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99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H29"/>
  <sheetViews>
    <sheetView topLeftCell="A4" zoomScaleNormal="100" zoomScaleSheetLayoutView="100" workbookViewId="0">
      <selection activeCell="O19" sqref="O19"/>
    </sheetView>
  </sheetViews>
  <sheetFormatPr defaultColWidth="8.86328125" defaultRowHeight="13.5"/>
  <cols>
    <col min="1" max="1" width="16.86328125" style="2" customWidth="1"/>
    <col min="2" max="2" width="14.3984375" style="2" customWidth="1"/>
    <col min="3" max="3" width="12.73046875" style="2" customWidth="1"/>
    <col min="4" max="4" width="11.59765625" style="2" customWidth="1"/>
    <col min="5" max="5" width="12.73046875" style="2" customWidth="1"/>
    <col min="6" max="6" width="11.59765625" style="2" customWidth="1"/>
    <col min="7" max="7" width="13.3984375" style="2" customWidth="1"/>
    <col min="8" max="16384" width="8.86328125" style="2"/>
  </cols>
  <sheetData>
    <row r="2" spans="1:8">
      <c r="A2" s="2" t="s">
        <v>22</v>
      </c>
    </row>
    <row r="3" spans="1:8">
      <c r="A3" s="50"/>
      <c r="B3" s="50"/>
      <c r="C3" s="50"/>
    </row>
    <row r="4" spans="1:8" ht="15.75" customHeight="1">
      <c r="A4" s="2" t="s">
        <v>127</v>
      </c>
    </row>
    <row r="5" spans="1:8" s="21" customFormat="1" ht="13.5" customHeight="1">
      <c r="A5" s="142" t="s">
        <v>20</v>
      </c>
      <c r="B5" s="142" t="s">
        <v>8</v>
      </c>
      <c r="C5" s="12" t="s">
        <v>3</v>
      </c>
      <c r="D5" s="123" t="s">
        <v>33</v>
      </c>
      <c r="E5" s="12" t="s">
        <v>1</v>
      </c>
      <c r="F5" s="123" t="s">
        <v>33</v>
      </c>
    </row>
    <row r="6" spans="1:8" s="21" customFormat="1">
      <c r="A6" s="143"/>
      <c r="B6" s="143"/>
      <c r="C6" s="14">
        <v>13.888999999999999</v>
      </c>
      <c r="D6" s="123"/>
      <c r="E6" s="14">
        <v>3472.3539999999998</v>
      </c>
      <c r="F6" s="123"/>
    </row>
    <row r="7" spans="1:8" s="21" customFormat="1">
      <c r="A7" s="144"/>
      <c r="B7" s="144"/>
      <c r="C7" s="51" t="s">
        <v>156</v>
      </c>
      <c r="D7" s="123"/>
      <c r="E7" s="51" t="s">
        <v>157</v>
      </c>
      <c r="F7" s="123"/>
    </row>
    <row r="8" spans="1:8" s="21" customFormat="1" ht="13.9">
      <c r="A8" s="138">
        <v>45903</v>
      </c>
      <c r="B8" s="142">
        <v>2</v>
      </c>
      <c r="C8" s="69">
        <v>13.733000000000001</v>
      </c>
      <c r="D8" s="70">
        <f t="shared" ref="D8:D10" si="0">ROUND((C8-C$6)/C$6*100,1)</f>
        <v>-1.1000000000000001</v>
      </c>
      <c r="E8" s="69">
        <v>3265.761</v>
      </c>
      <c r="F8" s="70">
        <f t="shared" ref="F8:F10" si="1">ROUND((E8-E$6)/E$6*100,1)</f>
        <v>-5.9</v>
      </c>
      <c r="G8"/>
      <c r="H8"/>
    </row>
    <row r="9" spans="1:8" s="21" customFormat="1" ht="13.9">
      <c r="A9" s="138"/>
      <c r="B9" s="143"/>
      <c r="C9" s="69">
        <v>13.186999999999999</v>
      </c>
      <c r="D9" s="70">
        <f t="shared" si="0"/>
        <v>-5.0999999999999996</v>
      </c>
      <c r="E9" s="69">
        <v>3356.36</v>
      </c>
      <c r="F9" s="70">
        <f t="shared" si="1"/>
        <v>-3.3</v>
      </c>
      <c r="G9"/>
      <c r="H9"/>
    </row>
    <row r="10" spans="1:8" s="21" customFormat="1" ht="13.9">
      <c r="A10" s="138"/>
      <c r="B10" s="143"/>
      <c r="C10" s="69">
        <v>15.382999999999999</v>
      </c>
      <c r="D10" s="70">
        <f t="shared" si="0"/>
        <v>10.8</v>
      </c>
      <c r="E10" s="69">
        <v>3478.029</v>
      </c>
      <c r="F10" s="70">
        <f t="shared" si="1"/>
        <v>0.2</v>
      </c>
      <c r="G10"/>
      <c r="H10"/>
    </row>
    <row r="11" spans="1:8" s="21" customFormat="1" ht="13.9">
      <c r="A11" s="12" t="s">
        <v>14</v>
      </c>
      <c r="B11" s="135"/>
      <c r="C11" s="69">
        <f>ROUND(AVERAGE(C8:C10),3)</f>
        <v>14.101000000000001</v>
      </c>
      <c r="D11" s="135"/>
      <c r="E11" s="69">
        <f>ROUND(AVERAGE(E8:E10),3)</f>
        <v>3366.7170000000001</v>
      </c>
      <c r="F11" s="135"/>
      <c r="G11"/>
      <c r="H11"/>
    </row>
    <row r="12" spans="1:8" s="21" customFormat="1" ht="13.9">
      <c r="A12" s="12" t="s">
        <v>4</v>
      </c>
      <c r="B12" s="136"/>
      <c r="C12" s="69">
        <f>ROUND(STDEV(C8:C10),3)</f>
        <v>1.143</v>
      </c>
      <c r="D12" s="136"/>
      <c r="E12" s="69">
        <f>ROUND(STDEV(E8:E10),3)</f>
        <v>106.512</v>
      </c>
      <c r="F12" s="136"/>
      <c r="G12"/>
      <c r="H12"/>
    </row>
    <row r="13" spans="1:8" s="21" customFormat="1" ht="13.9">
      <c r="A13" s="12" t="s">
        <v>40</v>
      </c>
      <c r="B13" s="136"/>
      <c r="C13" s="70">
        <f>ROUND(C12/C11*100,1)</f>
        <v>8.1</v>
      </c>
      <c r="D13" s="136"/>
      <c r="E13" s="70">
        <f>ROUND(E12/E11*100,1)</f>
        <v>3.2</v>
      </c>
      <c r="F13" s="136"/>
      <c r="G13"/>
      <c r="H13"/>
    </row>
    <row r="14" spans="1:8" s="21" customFormat="1" ht="13.9">
      <c r="A14" s="12" t="s">
        <v>41</v>
      </c>
      <c r="B14" s="136"/>
      <c r="C14" s="70">
        <f>ROUND(C11/C$6*100,1)</f>
        <v>101.5</v>
      </c>
      <c r="D14" s="136"/>
      <c r="E14" s="70">
        <f>ROUND(E11/E$6*100,1)</f>
        <v>97</v>
      </c>
      <c r="F14" s="136"/>
      <c r="H14"/>
    </row>
    <row r="15" spans="1:8" s="21" customFormat="1" ht="13.9">
      <c r="A15" s="12" t="s">
        <v>5</v>
      </c>
      <c r="B15" s="137"/>
      <c r="C15" s="12">
        <v>3</v>
      </c>
      <c r="D15" s="137"/>
      <c r="E15" s="12">
        <v>3</v>
      </c>
      <c r="F15" s="137"/>
      <c r="H15"/>
    </row>
    <row r="16" spans="1:8" s="21" customFormat="1" ht="13.9">
      <c r="A16" s="197"/>
      <c r="B16" s="198"/>
      <c r="C16" s="198"/>
      <c r="D16" s="198"/>
      <c r="H16"/>
    </row>
    <row r="17" spans="1:8" ht="13.9">
      <c r="A17" s="3"/>
      <c r="B17" s="3"/>
      <c r="C17" s="3"/>
      <c r="D17" s="3"/>
      <c r="E17" s="3"/>
      <c r="H17"/>
    </row>
    <row r="18" spans="1:8" ht="15.75" customHeight="1">
      <c r="A18" s="2" t="s">
        <v>128</v>
      </c>
      <c r="H18"/>
    </row>
    <row r="19" spans="1:8" s="21" customFormat="1" ht="13.9" customHeight="1">
      <c r="A19" s="142" t="s">
        <v>20</v>
      </c>
      <c r="B19" s="142" t="s">
        <v>8</v>
      </c>
      <c r="C19" s="12" t="s">
        <v>3</v>
      </c>
      <c r="D19" s="123" t="s">
        <v>33</v>
      </c>
      <c r="E19" s="12" t="s">
        <v>1</v>
      </c>
      <c r="F19" s="123" t="s">
        <v>33</v>
      </c>
      <c r="H19"/>
    </row>
    <row r="20" spans="1:8" s="21" customFormat="1">
      <c r="A20" s="143"/>
      <c r="B20" s="143"/>
      <c r="C20" s="14">
        <v>16.111000000000001</v>
      </c>
      <c r="D20" s="123"/>
      <c r="E20" s="14">
        <v>4027.6260000000002</v>
      </c>
      <c r="F20" s="123"/>
    </row>
    <row r="21" spans="1:8" s="21" customFormat="1">
      <c r="A21" s="144"/>
      <c r="B21" s="144"/>
      <c r="C21" s="51" t="s">
        <v>157</v>
      </c>
      <c r="D21" s="123"/>
      <c r="E21" s="51" t="s">
        <v>157</v>
      </c>
      <c r="F21" s="123"/>
    </row>
    <row r="22" spans="1:8" s="21" customFormat="1" ht="13.9">
      <c r="A22" s="138">
        <v>45903</v>
      </c>
      <c r="B22" s="142">
        <v>2</v>
      </c>
      <c r="C22" s="69">
        <v>17.975000000000001</v>
      </c>
      <c r="D22" s="70">
        <f>ROUND((C22-C$20)/C$20*100,1)</f>
        <v>11.6</v>
      </c>
      <c r="E22" s="69">
        <v>3827.7460000000001</v>
      </c>
      <c r="F22" s="70">
        <f>ROUND((E22-E$20)/E$20*100,1)</f>
        <v>-5</v>
      </c>
      <c r="G22"/>
      <c r="H22"/>
    </row>
    <row r="23" spans="1:8" s="21" customFormat="1" ht="13.9">
      <c r="A23" s="138"/>
      <c r="B23" s="143"/>
      <c r="C23" s="69">
        <v>17.007999999999999</v>
      </c>
      <c r="D23" s="70">
        <f t="shared" ref="D23:F24" si="2">ROUND((C23-C$20)/C$20*100,1)</f>
        <v>5.6</v>
      </c>
      <c r="E23" s="69">
        <v>3975.886</v>
      </c>
      <c r="F23" s="70">
        <f t="shared" si="2"/>
        <v>-1.3</v>
      </c>
      <c r="G23"/>
      <c r="H23"/>
    </row>
    <row r="24" spans="1:8" s="21" customFormat="1" ht="13.9">
      <c r="A24" s="138"/>
      <c r="B24" s="143"/>
      <c r="C24" s="69">
        <v>15.992000000000001</v>
      </c>
      <c r="D24" s="70">
        <f t="shared" si="2"/>
        <v>-0.7</v>
      </c>
      <c r="E24" s="69">
        <v>3765.904</v>
      </c>
      <c r="F24" s="70">
        <f t="shared" si="2"/>
        <v>-6.5</v>
      </c>
      <c r="G24"/>
      <c r="H24"/>
    </row>
    <row r="25" spans="1:8" s="21" customFormat="1" ht="13.9">
      <c r="A25" s="12" t="s">
        <v>14</v>
      </c>
      <c r="B25" s="135"/>
      <c r="C25" s="69">
        <f>ROUND(AVERAGE(C22:C24),3)</f>
        <v>16.992000000000001</v>
      </c>
      <c r="D25" s="135"/>
      <c r="E25" s="69">
        <f>ROUND(AVERAGE(E22:E24),3)</f>
        <v>3856.5120000000002</v>
      </c>
      <c r="F25" s="135"/>
      <c r="G25"/>
      <c r="H25"/>
    </row>
    <row r="26" spans="1:8" s="21" customFormat="1" ht="13.9">
      <c r="A26" s="12" t="s">
        <v>4</v>
      </c>
      <c r="B26" s="136"/>
      <c r="C26" s="69">
        <f>ROUND(STDEV(C22:C24),3)</f>
        <v>0.99199999999999999</v>
      </c>
      <c r="D26" s="136"/>
      <c r="E26" s="69">
        <f>ROUND(STDEV(E22:E24),3)</f>
        <v>107.90600000000001</v>
      </c>
      <c r="F26" s="136"/>
      <c r="G26"/>
      <c r="H26"/>
    </row>
    <row r="27" spans="1:8" s="21" customFormat="1" ht="13.9">
      <c r="A27" s="12" t="s">
        <v>40</v>
      </c>
      <c r="B27" s="136"/>
      <c r="C27" s="70">
        <f>ROUND(C26/C25*100,1)</f>
        <v>5.8</v>
      </c>
      <c r="D27" s="136"/>
      <c r="E27" s="70">
        <f>ROUND(E26/E25*100,1)</f>
        <v>2.8</v>
      </c>
      <c r="F27" s="136"/>
      <c r="G27"/>
      <c r="H27"/>
    </row>
    <row r="28" spans="1:8" s="21" customFormat="1">
      <c r="A28" s="12" t="s">
        <v>41</v>
      </c>
      <c r="B28" s="136"/>
      <c r="C28" s="70">
        <f>ROUND(C25/C$20*100,1)</f>
        <v>105.5</v>
      </c>
      <c r="D28" s="136"/>
      <c r="E28" s="70">
        <f>ROUND(E25/E$20*100,1)</f>
        <v>95.8</v>
      </c>
      <c r="F28" s="136"/>
      <c r="G28" s="38"/>
    </row>
    <row r="29" spans="1:8" s="21" customFormat="1">
      <c r="A29" s="12" t="s">
        <v>5</v>
      </c>
      <c r="B29" s="137"/>
      <c r="C29" s="12">
        <v>3</v>
      </c>
      <c r="D29" s="137"/>
      <c r="E29" s="12">
        <v>3</v>
      </c>
      <c r="F29" s="137"/>
      <c r="G29" s="38"/>
    </row>
  </sheetData>
  <mergeCells count="19">
    <mergeCell ref="A16:D16"/>
    <mergeCell ref="A8:A10"/>
    <mergeCell ref="B8:B10"/>
    <mergeCell ref="B11:B15"/>
    <mergeCell ref="D11:D15"/>
    <mergeCell ref="A5:A7"/>
    <mergeCell ref="B5:B7"/>
    <mergeCell ref="D5:D7"/>
    <mergeCell ref="F5:F7"/>
    <mergeCell ref="F11:F15"/>
    <mergeCell ref="B25:B29"/>
    <mergeCell ref="D25:D29"/>
    <mergeCell ref="F25:F29"/>
    <mergeCell ref="A19:A21"/>
    <mergeCell ref="B19:B21"/>
    <mergeCell ref="D19:D21"/>
    <mergeCell ref="F19:F21"/>
    <mergeCell ref="A22:A24"/>
    <mergeCell ref="B22:B24"/>
  </mergeCells>
  <phoneticPr fontId="4" type="noConversion"/>
  <conditionalFormatting sqref="H8:H19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H22:H27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83"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5</vt:i4>
      </vt:variant>
    </vt:vector>
  </HeadingPairs>
  <TitlesOfParts>
    <vt:vector size="17" baseType="lpstr">
      <vt:lpstr>表4_Selectivity</vt:lpstr>
      <vt:lpstr>表5_特异性</vt:lpstr>
      <vt:lpstr>表6_ME</vt:lpstr>
      <vt:lpstr>表9_Inter QC</vt:lpstr>
      <vt:lpstr>表11_Recovery</vt:lpstr>
      <vt:lpstr>表12_IS Recov</vt:lpstr>
      <vt:lpstr>表13_Dilution</vt:lpstr>
      <vt:lpstr>表18_ST</vt:lpstr>
      <vt:lpstr>表19_FT</vt:lpstr>
      <vt:lpstr>表20_PSS</vt:lpstr>
      <vt:lpstr>表22_Blood</vt:lpstr>
      <vt:lpstr>表23_溶血效应</vt:lpstr>
      <vt:lpstr>表11_Recovery!Print_Area</vt:lpstr>
      <vt:lpstr>'表12_IS Recov'!Print_Area</vt:lpstr>
      <vt:lpstr>表19_FT!Print_Area</vt:lpstr>
      <vt:lpstr>表6_ME!Print_Area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李薇薇-2</cp:lastModifiedBy>
  <cp:lastPrinted>2024-09-09T11:28:11Z</cp:lastPrinted>
  <dcterms:created xsi:type="dcterms:W3CDTF">2016-03-17T02:40:20Z</dcterms:created>
  <dcterms:modified xsi:type="dcterms:W3CDTF">2026-02-10T08:01:53Z</dcterms:modified>
</cp:coreProperties>
</file>