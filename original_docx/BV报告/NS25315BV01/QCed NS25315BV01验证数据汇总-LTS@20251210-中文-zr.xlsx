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rzhang-2\Desktop\SMBA-ZR\NS25315BV01\"/>
    </mc:Choice>
  </mc:AlternateContent>
  <xr:revisionPtr revIDLastSave="0" documentId="13_ncr:1_{96A20A65-F3E9-4855-ACE5-EBD6DAC3279C}" xr6:coauthVersionLast="47" xr6:coauthVersionMax="47" xr10:uidLastSave="{00000000-0000-0000-0000-000000000000}"/>
  <bookViews>
    <workbookView xWindow="-120" yWindow="-120" windowWidth="29040" windowHeight="15840" tabRatio="852" xr2:uid="{00000000-000D-0000-FFFF-FFFF00000000}"/>
  </bookViews>
  <sheets>
    <sheet name="1.1" sheetId="33" r:id="rId1"/>
    <sheet name="2.1标准品" sheetId="35" r:id="rId2"/>
    <sheet name="2.2内标" sheetId="40" r:id="rId3"/>
    <sheet name="2.5试剂" sheetId="41" r:id="rId4"/>
    <sheet name="2.6 空白基质" sheetId="51" r:id="rId5"/>
    <sheet name="2.9标准曲线质控样品配制" sheetId="50" r:id="rId6"/>
    <sheet name="表1_schedule" sheetId="7" r:id="rId7"/>
    <sheet name="表2_SST" sheetId="8" r:id="rId8"/>
    <sheet name="表3_CO" sheetId="10" r:id="rId9"/>
    <sheet name="表7_Regression" sheetId="13" r:id="rId10"/>
    <sheet name="表8_curve" sheetId="14" r:id="rId11"/>
    <sheet name="表10 QC (除准确度精密度分析批）" sheetId="42" r:id="rId12"/>
    <sheet name="表14_stock ST" sheetId="27" r:id="rId13"/>
    <sheet name="表15_spike ST" sheetId="20" r:id="rId14"/>
    <sheet name="表16_stock LT" sheetId="21" r:id="rId15"/>
    <sheet name="表17_spike LT" sheetId="22" r:id="rId16"/>
    <sheet name="表21_LTS" sheetId="39" r:id="rId17"/>
    <sheet name="分析天平" sheetId="46" r:id="rId18"/>
    <sheet name="（选择性图谱）空白基质图谱" sheetId="43" r:id="rId19"/>
    <sheet name="（选择性图谱）最低定量限图谱" sheetId="44" r:id="rId20"/>
    <sheet name="标准曲线" sheetId="45" r:id="rId21"/>
  </sheets>
  <definedNames>
    <definedName name="_xlnm.Print_Area" localSheetId="14">'表16_stock LT'!$A$1:$N$55</definedName>
    <definedName name="_xlnm.Print_Area" localSheetId="7">表2_SST!$A$1:$D$12</definedName>
    <definedName name="_xlnm.Print_Area" localSheetId="9">表7_Regression!$A$1:$O$30</definedName>
  </definedNames>
  <calcPr calcId="191029"/>
</workbook>
</file>

<file path=xl/calcChain.xml><?xml version="1.0" encoding="utf-8"?>
<calcChain xmlns="http://schemas.openxmlformats.org/spreadsheetml/2006/main">
  <c r="C34" i="39" l="1"/>
  <c r="C33" i="39"/>
  <c r="C36" i="39" s="1"/>
  <c r="E36" i="39"/>
  <c r="E34" i="39"/>
  <c r="E35" i="39" s="1"/>
  <c r="E33" i="39"/>
  <c r="F32" i="39"/>
  <c r="F31" i="39"/>
  <c r="F30" i="39"/>
  <c r="F29" i="39"/>
  <c r="F28" i="39"/>
  <c r="F27" i="39"/>
  <c r="D32" i="39"/>
  <c r="D31" i="39"/>
  <c r="D30" i="39"/>
  <c r="D29" i="39"/>
  <c r="D28" i="39"/>
  <c r="D27" i="39"/>
  <c r="D20" i="22"/>
  <c r="E19" i="22"/>
  <c r="E20" i="22" s="1"/>
  <c r="D19" i="22"/>
  <c r="C19" i="22"/>
  <c r="E18" i="22"/>
  <c r="D18" i="22"/>
  <c r="D21" i="22" s="1"/>
  <c r="C18" i="22"/>
  <c r="E25" i="21"/>
  <c r="C53" i="21"/>
  <c r="C54" i="21" s="1"/>
  <c r="B53" i="21"/>
  <c r="B54" i="21" s="1"/>
  <c r="C52" i="21"/>
  <c r="B55" i="21" s="1"/>
  <c r="B52" i="21"/>
  <c r="E19" i="21"/>
  <c r="D19" i="21"/>
  <c r="E18" i="21"/>
  <c r="D21" i="21" s="1"/>
  <c r="D18" i="21"/>
  <c r="C53" i="20"/>
  <c r="C52" i="20"/>
  <c r="B52" i="20"/>
  <c r="B53" i="20" s="1"/>
  <c r="C51" i="20"/>
  <c r="B54" i="20" s="1"/>
  <c r="B51" i="20"/>
  <c r="E19" i="20"/>
  <c r="E20" i="20" s="1"/>
  <c r="D19" i="20"/>
  <c r="D20" i="20" s="1"/>
  <c r="E18" i="20"/>
  <c r="D18" i="20"/>
  <c r="E24" i="27"/>
  <c r="C52" i="27"/>
  <c r="C53" i="27" s="1"/>
  <c r="B52" i="27"/>
  <c r="B53" i="27" s="1"/>
  <c r="C51" i="27"/>
  <c r="B54" i="27" s="1"/>
  <c r="B51" i="27"/>
  <c r="E19" i="27"/>
  <c r="E20" i="27" s="1"/>
  <c r="D19" i="27"/>
  <c r="D20" i="27" s="1"/>
  <c r="E18" i="27"/>
  <c r="D18" i="27"/>
  <c r="C35" i="39" l="1"/>
  <c r="C20" i="22"/>
  <c r="D20" i="21"/>
  <c r="E20" i="21"/>
  <c r="D21" i="20"/>
  <c r="D21" i="27"/>
  <c r="K25" i="39"/>
  <c r="E35" i="22"/>
  <c r="E34" i="22"/>
  <c r="E33" i="22"/>
  <c r="E32" i="22"/>
  <c r="E31" i="22"/>
  <c r="E30" i="22"/>
  <c r="E29" i="22"/>
  <c r="E28" i="22"/>
  <c r="E27" i="22"/>
  <c r="E26" i="22"/>
  <c r="E25" i="22"/>
  <c r="E24" i="22"/>
  <c r="J40" i="22"/>
  <c r="J6" i="22"/>
  <c r="H39" i="20"/>
  <c r="J40" i="21"/>
  <c r="E36" i="21"/>
  <c r="E35" i="21"/>
  <c r="E34" i="21"/>
  <c r="E33" i="21"/>
  <c r="E32" i="21"/>
  <c r="E31" i="21"/>
  <c r="E30" i="21"/>
  <c r="E29" i="21"/>
  <c r="E28" i="21"/>
  <c r="E27" i="21"/>
  <c r="E26" i="21"/>
  <c r="I39" i="27"/>
  <c r="G26" i="10"/>
  <c r="I27" i="10" s="1"/>
  <c r="F26" i="10"/>
  <c r="H26" i="10" s="1"/>
  <c r="H27" i="10" l="1"/>
  <c r="I26" i="10"/>
  <c r="E16" i="39" l="1"/>
  <c r="C16" i="39"/>
  <c r="E15" i="39"/>
  <c r="E18" i="39" s="1"/>
  <c r="C15" i="39"/>
  <c r="C18" i="39" s="1"/>
  <c r="F14" i="39"/>
  <c r="D14" i="39"/>
  <c r="F13" i="39"/>
  <c r="D13" i="39"/>
  <c r="F12" i="39"/>
  <c r="D12" i="39"/>
  <c r="F11" i="39"/>
  <c r="D11" i="39"/>
  <c r="F10" i="39"/>
  <c r="D10" i="39"/>
  <c r="F9" i="39"/>
  <c r="D9" i="39"/>
  <c r="C53" i="22"/>
  <c r="B53" i="22"/>
  <c r="B54" i="22" s="1"/>
  <c r="C52" i="22"/>
  <c r="B55" i="22" s="1"/>
  <c r="B52" i="22"/>
  <c r="B19" i="22"/>
  <c r="B18" i="22"/>
  <c r="C19" i="21"/>
  <c r="B19" i="21"/>
  <c r="C18" i="21"/>
  <c r="B21" i="21" s="1"/>
  <c r="B18" i="21"/>
  <c r="E35" i="20"/>
  <c r="E34" i="20"/>
  <c r="E33" i="20"/>
  <c r="E32" i="20"/>
  <c r="E31" i="20"/>
  <c r="E30" i="20"/>
  <c r="E29" i="20"/>
  <c r="E28" i="20"/>
  <c r="E27" i="20"/>
  <c r="E26" i="20"/>
  <c r="E25" i="20"/>
  <c r="E24" i="20"/>
  <c r="C19" i="20"/>
  <c r="B19" i="20"/>
  <c r="C18" i="20"/>
  <c r="B18" i="20"/>
  <c r="E35" i="27"/>
  <c r="E34" i="27"/>
  <c r="E33" i="27"/>
  <c r="E32" i="27"/>
  <c r="E31" i="27"/>
  <c r="E30" i="27"/>
  <c r="E29" i="27"/>
  <c r="E28" i="27"/>
  <c r="E27" i="27"/>
  <c r="E26" i="27"/>
  <c r="E25" i="27"/>
  <c r="C19" i="27"/>
  <c r="C20" i="27" s="1"/>
  <c r="B19" i="27"/>
  <c r="B20" i="27" s="1"/>
  <c r="C18" i="27"/>
  <c r="B18" i="27"/>
  <c r="G24" i="10"/>
  <c r="I25" i="10" s="1"/>
  <c r="G22" i="10"/>
  <c r="I23" i="10" s="1"/>
  <c r="F22" i="10"/>
  <c r="H23" i="10" s="1"/>
  <c r="G20" i="10"/>
  <c r="I21" i="10" s="1"/>
  <c r="F20" i="10"/>
  <c r="H21" i="10" s="1"/>
  <c r="G18" i="10"/>
  <c r="I19" i="10" s="1"/>
  <c r="F18" i="10"/>
  <c r="H19" i="10" s="1"/>
  <c r="G12" i="10"/>
  <c r="I13" i="10" s="1"/>
  <c r="F12" i="10"/>
  <c r="H13" i="10" s="1"/>
  <c r="G10" i="10"/>
  <c r="I11" i="10" s="1"/>
  <c r="F10" i="10"/>
  <c r="H11" i="10" s="1"/>
  <c r="G8" i="10"/>
  <c r="I9" i="10" s="1"/>
  <c r="F8" i="10"/>
  <c r="H9" i="10" s="1"/>
  <c r="G6" i="10"/>
  <c r="I7" i="10" s="1"/>
  <c r="F6" i="10"/>
  <c r="H7" i="10" s="1"/>
  <c r="H6" i="20"/>
  <c r="I6" i="27"/>
  <c r="F24" i="10"/>
  <c r="H25" i="10" s="1"/>
  <c r="E17" i="39" l="1"/>
  <c r="B20" i="22"/>
  <c r="B21" i="20"/>
  <c r="C20" i="21"/>
  <c r="B20" i="21"/>
  <c r="B21" i="27"/>
  <c r="H20" i="10"/>
  <c r="H24" i="10"/>
  <c r="I24" i="10"/>
  <c r="H8" i="10"/>
  <c r="H12" i="10"/>
  <c r="B21" i="22"/>
  <c r="C20" i="20"/>
  <c r="B20" i="20"/>
  <c r="H6" i="10"/>
  <c r="H10" i="10"/>
  <c r="H18" i="10"/>
  <c r="H22" i="10"/>
  <c r="I6" i="10"/>
  <c r="I10" i="10"/>
  <c r="I18" i="10"/>
  <c r="I22" i="10"/>
  <c r="C17" i="39"/>
  <c r="C54" i="22"/>
  <c r="I8" i="10"/>
  <c r="I12" i="10"/>
  <c r="I20" i="10"/>
  <c r="J6" i="21" l="1"/>
  <c r="K7" i="39" l="1"/>
</calcChain>
</file>

<file path=xl/sharedStrings.xml><?xml version="1.0" encoding="utf-8"?>
<sst xmlns="http://schemas.openxmlformats.org/spreadsheetml/2006/main" count="847" uniqueCount="394">
  <si>
    <t>LLOQ</t>
  </si>
  <si>
    <t>HQC</t>
  </si>
  <si>
    <t>LQC</t>
  </si>
  <si>
    <t>SD</t>
  </si>
  <si>
    <t>n</t>
  </si>
  <si>
    <t>STD1</t>
  </si>
  <si>
    <t>STD2</t>
  </si>
  <si>
    <t>STD3</t>
  </si>
  <si>
    <t>STD4</t>
  </si>
  <si>
    <t>STD5</t>
  </si>
  <si>
    <t>STD6</t>
  </si>
  <si>
    <t>STD7</t>
  </si>
  <si>
    <t>ng/mL</t>
  </si>
  <si>
    <t>STD8</t>
  </si>
  <si>
    <t xml:space="preserve">AB Sciex </t>
  </si>
  <si>
    <r>
      <t xml:space="preserve">1.1 </t>
    </r>
    <r>
      <rPr>
        <sz val="10.5"/>
        <rFont val="宋体"/>
        <family val="3"/>
        <charset val="134"/>
      </rPr>
      <t>检测方法概述</t>
    </r>
  </si>
  <si>
    <r>
      <rPr>
        <sz val="10.5"/>
        <rFont val="宋体"/>
        <family val="3"/>
        <charset val="134"/>
      </rPr>
      <t>样品体积</t>
    </r>
  </si>
  <si>
    <r>
      <rPr>
        <sz val="10.5"/>
        <rFont val="宋体"/>
        <family val="3"/>
        <charset val="134"/>
      </rPr>
      <t>内标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</si>
  <si>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</si>
  <si>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</si>
  <si>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</si>
  <si>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内标保留时间</t>
    </r>
  </si>
  <si>
    <r>
      <rPr>
        <sz val="10.5"/>
        <rFont val="宋体"/>
        <family val="3"/>
        <charset val="134"/>
      </rPr>
      <t>平均值</t>
    </r>
  </si>
  <si>
    <t>ng/mL</t>
    <phoneticPr fontId="3" type="noConversion"/>
  </si>
  <si>
    <r>
      <rPr>
        <sz val="10.5"/>
        <rFont val="宋体"/>
        <family val="3"/>
        <charset val="134"/>
      </rPr>
      <t>待测物</t>
    </r>
  </si>
  <si>
    <r>
      <rPr>
        <sz val="10.5"/>
        <rFont val="宋体"/>
        <family val="3"/>
        <charset val="134"/>
      </rPr>
      <t>检测峰面积比</t>
    </r>
  </si>
  <si>
    <r>
      <rPr>
        <sz val="10.5"/>
        <rFont val="宋体"/>
        <family val="3"/>
        <charset val="134"/>
      </rPr>
      <t>稳定性考察样品</t>
    </r>
  </si>
  <si>
    <r>
      <t xml:space="preserve">2.1 </t>
    </r>
    <r>
      <rPr>
        <sz val="10.5"/>
        <rFont val="宋体"/>
        <family val="3"/>
        <charset val="134"/>
      </rPr>
      <t>标准品</t>
    </r>
    <phoneticPr fontId="3" type="noConversion"/>
  </si>
  <si>
    <r>
      <t xml:space="preserve">2.2 </t>
    </r>
    <r>
      <rPr>
        <sz val="10.5"/>
        <rFont val="宋体"/>
        <family val="3"/>
        <charset val="134"/>
      </rPr>
      <t>内标</t>
    </r>
    <phoneticPr fontId="3" type="noConversion"/>
  </si>
  <si>
    <r>
      <t xml:space="preserve">2.5 </t>
    </r>
    <r>
      <rPr>
        <sz val="10.5"/>
        <color theme="1"/>
        <rFont val="DengXian"/>
        <family val="2"/>
      </rPr>
      <t>试剂</t>
    </r>
    <phoneticPr fontId="14" type="noConversion"/>
  </si>
  <si>
    <r>
      <rPr>
        <sz val="10.5"/>
        <rFont val="宋体"/>
        <family val="3"/>
        <charset val="134"/>
      </rPr>
      <t>内标残留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</si>
  <si>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内标回收率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</si>
  <si>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储备液短期稳定性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</si>
  <si>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工作液短期稳定性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</si>
  <si>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工作液长期稳定性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</si>
  <si>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冻融稳定性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</si>
  <si>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待测物残留</t>
    </r>
    <phoneticPr fontId="3" type="noConversion"/>
  </si>
  <si>
    <r>
      <rPr>
        <sz val="10.5"/>
        <rFont val="宋体"/>
        <family val="3"/>
        <charset val="134"/>
      </rPr>
      <t>选择性</t>
    </r>
    <phoneticPr fontId="3" type="noConversion"/>
  </si>
  <si>
    <r>
      <rPr>
        <sz val="10.5"/>
        <rFont val="宋体"/>
        <family val="3"/>
        <charset val="134"/>
      </rPr>
      <t>稀释倍数</t>
    </r>
    <phoneticPr fontId="3" type="noConversion"/>
  </si>
  <si>
    <r>
      <rPr>
        <sz val="10.5"/>
        <rFont val="宋体"/>
        <family val="3"/>
        <charset val="134"/>
      </rPr>
      <t>储备液长期稳定性</t>
    </r>
    <phoneticPr fontId="3" type="noConversion"/>
  </si>
  <si>
    <r>
      <rPr>
        <sz val="10.5"/>
        <rFont val="宋体"/>
        <family val="3"/>
        <charset val="134"/>
      </rPr>
      <t>生物样品前处理过程中的短期稳定性</t>
    </r>
    <phoneticPr fontId="3" type="noConversion"/>
  </si>
  <si>
    <r>
      <rPr>
        <sz val="10.5"/>
        <rFont val="宋体"/>
        <family val="3"/>
        <charset val="134"/>
      </rPr>
      <t>生物基质中待测物的长期稳定性</t>
    </r>
    <phoneticPr fontId="3" type="noConversion"/>
  </si>
  <si>
    <r>
      <rPr>
        <sz val="10.5"/>
        <rFont val="宋体"/>
        <family val="3"/>
        <charset val="134"/>
      </rPr>
      <t>全血稳定性</t>
    </r>
    <r>
      <rPr>
        <sz val="10.5"/>
        <rFont val="Times New Roman"/>
        <family val="1"/>
      </rPr>
      <t/>
    </r>
    <phoneticPr fontId="3" type="noConversion"/>
  </si>
  <si>
    <r>
      <rPr>
        <sz val="10.5"/>
        <rFont val="宋体"/>
        <family val="3"/>
        <charset val="134"/>
      </rPr>
      <t>溶血效应</t>
    </r>
    <r>
      <rPr>
        <sz val="10.5"/>
        <rFont val="Times New Roman"/>
        <family val="1"/>
      </rPr>
      <t/>
    </r>
    <phoneticPr fontId="3" type="noConversion"/>
  </si>
  <si>
    <r>
      <t>Carryover</t>
    </r>
    <r>
      <rPr>
        <sz val="10.5"/>
        <rFont val="宋体"/>
        <family val="3"/>
        <charset val="134"/>
      </rPr>
      <t>样品中待测物残留峰面积</t>
    </r>
    <phoneticPr fontId="3" type="noConversion"/>
  </si>
  <si>
    <r>
      <t>Carryover</t>
    </r>
    <r>
      <rPr>
        <sz val="10.5"/>
        <rFont val="宋体"/>
        <family val="3"/>
        <charset val="134"/>
      </rPr>
      <t>样品中内标残留峰面积</t>
    </r>
    <phoneticPr fontId="3" type="noConversion"/>
  </si>
  <si>
    <t>mg/mL</t>
    <phoneticPr fontId="3" type="noConversion"/>
  </si>
  <si>
    <r>
      <rPr>
        <sz val="10.5"/>
        <rFont val="宋体"/>
        <family val="3"/>
        <charset val="134"/>
      </rPr>
      <t>参比样品</t>
    </r>
    <phoneticPr fontId="3" type="noConversion"/>
  </si>
  <si>
    <r>
      <rPr>
        <sz val="10.5"/>
        <rFont val="宋体"/>
        <family val="3"/>
        <charset val="134"/>
      </rPr>
      <t>待测物回收率</t>
    </r>
    <r>
      <rPr>
        <sz val="10.5"/>
        <rFont val="Times New Roman"/>
        <family val="1"/>
      </rPr>
      <t/>
    </r>
    <phoneticPr fontId="3" type="noConversion"/>
  </si>
  <si>
    <t>表3 ：批量样品检测过程的残留</t>
  </si>
  <si>
    <t>表21：生物基质中待测物的长期稳定性</t>
  </si>
  <si>
    <t>长期稳定性样品处理日期：</t>
  </si>
  <si>
    <t>长期稳定性样品放置时间（天）：</t>
  </si>
  <si>
    <t>表16 ：储备液长期稳定性</t>
  </si>
  <si>
    <t>表14：储备液短期稳定性</t>
  </si>
  <si>
    <t>表10：质控样品浓度数据汇总（除准确度精密度分析批外）</t>
  </si>
  <si>
    <t>表8：标准曲线的回算浓度</t>
  </si>
  <si>
    <t>表7：标准曲线参数汇总</t>
  </si>
  <si>
    <t>拟合方程：峰面积比= 斜率 ×浓度 + 截距， 权重：1/（浓度×浓度）</t>
  </si>
  <si>
    <t>表2 ：系统适用性</t>
  </si>
  <si>
    <t>表1：批量样品检测情况列表</t>
  </si>
  <si>
    <t>CV（%）</t>
  </si>
  <si>
    <t>准确度（%）</t>
  </si>
  <si>
    <t>理论浓度（单位）</t>
  </si>
  <si>
    <t>准确度偏差（%）</t>
  </si>
  <si>
    <t>待测物残留率（%）</t>
  </si>
  <si>
    <t>内标残留率（%）</t>
  </si>
  <si>
    <r>
      <rPr>
        <sz val="10.5"/>
        <rFont val="宋体"/>
        <family val="3"/>
        <charset val="134"/>
      </rPr>
      <t>色谱柱型号及所用序列号</t>
    </r>
    <phoneticPr fontId="3" type="noConversion"/>
  </si>
  <si>
    <r>
      <rPr>
        <sz val="10.5"/>
        <rFont val="宋体"/>
        <family val="3"/>
        <charset val="134"/>
      </rPr>
      <t>系统适用性</t>
    </r>
    <phoneticPr fontId="3" type="noConversion"/>
  </si>
  <si>
    <r>
      <rPr>
        <sz val="10.5"/>
        <rFont val="宋体"/>
        <family val="3"/>
        <charset val="134"/>
      </rPr>
      <t>特异性</t>
    </r>
    <phoneticPr fontId="3" type="noConversion"/>
  </si>
  <si>
    <r>
      <rPr>
        <sz val="11"/>
        <color theme="1"/>
        <rFont val="DengXian"/>
        <family val="2"/>
      </rPr>
      <t>分析天平编号：</t>
    </r>
  </si>
  <si>
    <r>
      <rPr>
        <sz val="10.5"/>
        <rFont val="宋体"/>
        <family val="3"/>
        <charset val="134"/>
      </rPr>
      <t>放置时间：</t>
    </r>
  </si>
  <si>
    <r>
      <rPr>
        <sz val="10.5"/>
        <rFont val="宋体"/>
        <family val="3"/>
        <charset val="134"/>
      </rPr>
      <t>长期稳定性样品配置日期：</t>
    </r>
  </si>
  <si>
    <r>
      <rPr>
        <sz val="10.5"/>
        <rFont val="宋体"/>
        <family val="3"/>
        <charset val="134"/>
      </rPr>
      <t>长期稳定性样品处理日期：</t>
    </r>
  </si>
  <si>
    <r>
      <rPr>
        <sz val="10.5"/>
        <rFont val="宋体"/>
        <family val="3"/>
        <charset val="134"/>
      </rPr>
      <t>工作液开始放置时间：</t>
    </r>
  </si>
  <si>
    <r>
      <rPr>
        <sz val="10.5"/>
        <rFont val="宋体"/>
        <family val="3"/>
        <charset val="134"/>
      </rPr>
      <t>工作液放置结束时间：</t>
    </r>
  </si>
  <si>
    <r>
      <rPr>
        <sz val="10.5"/>
        <rFont val="宋体"/>
        <family val="3"/>
        <charset val="134"/>
      </rPr>
      <t>工作液配置完成时间：</t>
    </r>
  </si>
  <si>
    <r>
      <rPr>
        <sz val="10.5"/>
        <rFont val="宋体"/>
        <family val="3"/>
        <charset val="134"/>
      </rPr>
      <t>工作液处理时间：</t>
    </r>
  </si>
  <si>
    <r>
      <rPr>
        <sz val="10.5"/>
        <rFont val="宋体"/>
        <family val="3"/>
        <charset val="134"/>
      </rPr>
      <t>储备液开始放置时间：</t>
    </r>
  </si>
  <si>
    <r>
      <rPr>
        <sz val="10.5"/>
        <rFont val="宋体"/>
        <family val="3"/>
        <charset val="134"/>
      </rPr>
      <t>储备液放置结束时间：</t>
    </r>
  </si>
  <si>
    <r>
      <rPr>
        <sz val="10.5"/>
        <rFont val="宋体"/>
        <family val="3"/>
        <charset val="134"/>
      </rPr>
      <t>内标</t>
    </r>
    <phoneticPr fontId="3" type="noConversion"/>
  </si>
  <si>
    <r>
      <rPr>
        <sz val="10.5"/>
        <rFont val="宋体"/>
        <family val="3"/>
        <charset val="134"/>
      </rPr>
      <t>储备液配置完成时间：</t>
    </r>
  </si>
  <si>
    <r>
      <rPr>
        <sz val="10.5"/>
        <rFont val="宋体"/>
        <family val="3"/>
        <charset val="134"/>
      </rPr>
      <t>储备液处理时间：</t>
    </r>
  </si>
  <si>
    <r>
      <rPr>
        <sz val="10.5"/>
        <rFont val="宋体"/>
        <family val="3"/>
        <charset val="134"/>
      </rPr>
      <t>检测批次编号</t>
    </r>
    <phoneticPr fontId="3" type="noConversion"/>
  </si>
  <si>
    <r>
      <rPr>
        <sz val="10.5"/>
        <rFont val="宋体"/>
        <family val="3"/>
        <charset val="134"/>
      </rPr>
      <t>待测物保留时间</t>
    </r>
    <phoneticPr fontId="3" type="noConversion"/>
  </si>
  <si>
    <r>
      <rPr>
        <sz val="10.5"/>
        <rFont val="宋体"/>
        <family val="3"/>
        <charset val="134"/>
      </rPr>
      <t>备注：</t>
    </r>
  </si>
  <si>
    <t>EQ202003</t>
    <phoneticPr fontId="14" type="noConversion"/>
  </si>
  <si>
    <t>EQ2018B23</t>
    <phoneticPr fontId="14" type="noConversion"/>
  </si>
  <si>
    <t>EQ201590</t>
    <phoneticPr fontId="14" type="noConversion"/>
  </si>
  <si>
    <r>
      <rPr>
        <sz val="10.5"/>
        <rFont val="宋体"/>
        <family val="3"/>
        <charset val="134"/>
      </rPr>
      <t>精密度最大值（</t>
    </r>
    <r>
      <rPr>
        <sz val="10.5"/>
        <rFont val="Times New Roman"/>
        <family val="1"/>
      </rPr>
      <t>%CV</t>
    </r>
    <r>
      <rPr>
        <sz val="10.5"/>
        <rFont val="宋体"/>
        <family val="3"/>
        <charset val="134"/>
      </rPr>
      <t>）</t>
    </r>
    <phoneticPr fontId="3" type="noConversion"/>
  </si>
  <si>
    <r>
      <rPr>
        <sz val="10.5"/>
        <rFont val="宋体"/>
        <family val="3"/>
        <charset val="134"/>
      </rPr>
      <t>准确度（与理论浓度的偏差）（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）范围</t>
    </r>
    <phoneticPr fontId="3" type="noConversion"/>
  </si>
  <si>
    <r>
      <rPr>
        <sz val="10.5"/>
        <color rgb="FF000000"/>
        <rFont val="DengXian"/>
        <family val="2"/>
      </rPr>
      <t>试剂</t>
    </r>
  </si>
  <si>
    <r>
      <rPr>
        <sz val="10.5"/>
        <color rgb="FF000000"/>
        <rFont val="DengXian"/>
        <family val="2"/>
      </rPr>
      <t>供应商</t>
    </r>
  </si>
  <si>
    <r>
      <rPr>
        <sz val="10.5"/>
        <color theme="1"/>
        <rFont val="DengXian"/>
        <family val="2"/>
      </rPr>
      <t>级别</t>
    </r>
    <phoneticPr fontId="14" type="noConversion"/>
  </si>
  <si>
    <t>上海益诺思生物技术股份有限公司</t>
  </si>
  <si>
    <t>类型</t>
  </si>
  <si>
    <t>配制日期</t>
    <phoneticPr fontId="14" type="noConversion"/>
  </si>
  <si>
    <t>储存条件</t>
  </si>
  <si>
    <t>标准曲线样品</t>
    <phoneticPr fontId="14" type="noConversion"/>
  </si>
  <si>
    <t>质量控制样品</t>
  </si>
  <si>
    <r>
      <t xml:space="preserve">2.6 </t>
    </r>
    <r>
      <rPr>
        <sz val="11"/>
        <color theme="1"/>
        <rFont val="宋体"/>
        <family val="3"/>
        <charset val="134"/>
      </rPr>
      <t>空白基质</t>
    </r>
    <phoneticPr fontId="14" type="noConversion"/>
  </si>
  <si>
    <t>2.9 标准曲线/质控样品的配制</t>
    <phoneticPr fontId="14" type="noConversion"/>
  </si>
  <si>
    <r>
      <t xml:space="preserve">LLOQ </t>
    </r>
    <r>
      <rPr>
        <sz val="10.5"/>
        <rFont val="宋体"/>
        <family val="3"/>
        <charset val="134"/>
      </rPr>
      <t>标曲样品待测物峰面积</t>
    </r>
    <phoneticPr fontId="3" type="noConversion"/>
  </si>
  <si>
    <r>
      <t>LLOQ</t>
    </r>
    <r>
      <rPr>
        <sz val="10.5"/>
        <rFont val="宋体"/>
        <family val="3"/>
        <charset val="134"/>
      </rPr>
      <t>标曲样品内标峰面积</t>
    </r>
    <phoneticPr fontId="3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</si>
  <si>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标曲样品待测物峰面积均值</t>
    </r>
    <phoneticPr fontId="3" type="noConversion"/>
  </si>
  <si>
    <t>拒绝批：</t>
    <phoneticPr fontId="3" type="noConversion"/>
  </si>
  <si>
    <t>接受批：</t>
    <phoneticPr fontId="3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</si>
  <si>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标曲样品内标峰面积均值</t>
    </r>
    <phoneticPr fontId="3" type="noConversion"/>
  </si>
  <si>
    <t>现配现用</t>
    <phoneticPr fontId="14" type="noConversion"/>
  </si>
  <si>
    <t>准确度偏差 （%）</t>
  </si>
  <si>
    <t>CV （%）</t>
  </si>
  <si>
    <t>准确度 （%）</t>
  </si>
  <si>
    <t>差异 （%）</t>
  </si>
  <si>
    <t>5 μL</t>
    <phoneticPr fontId="3" type="noConversion"/>
  </si>
  <si>
    <t>y = ax + b</t>
    <phoneticPr fontId="3" type="noConversion"/>
  </si>
  <si>
    <r>
      <rPr>
        <sz val="10.5"/>
        <rFont val="宋体"/>
        <family val="3"/>
        <charset val="134"/>
      </rPr>
      <t>分析方法</t>
    </r>
  </si>
  <si>
    <r>
      <rPr>
        <sz val="10.5"/>
        <rFont val="宋体"/>
        <family val="3"/>
        <charset val="134"/>
      </rPr>
      <t>设备名称</t>
    </r>
  </si>
  <si>
    <r>
      <rPr>
        <sz val="10.5"/>
        <rFont val="宋体"/>
        <family val="3"/>
        <charset val="134"/>
      </rPr>
      <t>制造商</t>
    </r>
  </si>
  <si>
    <r>
      <rPr>
        <sz val="10.5"/>
        <rFont val="宋体"/>
        <family val="3"/>
        <charset val="134"/>
      </rPr>
      <t>型号</t>
    </r>
  </si>
  <si>
    <r>
      <rPr>
        <sz val="10.5"/>
        <rFont val="宋体"/>
        <family val="3"/>
        <charset val="134"/>
      </rPr>
      <t>高效液相色谱</t>
    </r>
  </si>
  <si>
    <r>
      <rPr>
        <sz val="10.5"/>
        <rFont val="宋体"/>
        <family val="3"/>
        <charset val="134"/>
      </rPr>
      <t>离子源</t>
    </r>
  </si>
  <si>
    <r>
      <t>Turbo-V</t>
    </r>
    <r>
      <rPr>
        <sz val="10.5"/>
        <rFont val="宋体"/>
        <family val="3"/>
        <charset val="134"/>
      </rPr>
      <t>电喷雾离子源</t>
    </r>
  </si>
  <si>
    <r>
      <rPr>
        <sz val="10.5"/>
        <rFont val="宋体"/>
        <family val="3"/>
        <charset val="134"/>
      </rPr>
      <t>检测器</t>
    </r>
    <r>
      <rPr>
        <sz val="10.5"/>
        <rFont val="Times New Roman"/>
        <family val="1"/>
      </rPr>
      <t>-</t>
    </r>
    <r>
      <rPr>
        <sz val="10.5"/>
        <rFont val="宋体"/>
        <family val="3"/>
        <charset val="134"/>
      </rPr>
      <t>串联质谱</t>
    </r>
  </si>
  <si>
    <r>
      <rPr>
        <sz val="10.5"/>
        <rFont val="宋体"/>
        <family val="3"/>
        <charset val="134"/>
      </rPr>
      <t>数据采集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管理软件</t>
    </r>
    <phoneticPr fontId="3" type="noConversion"/>
  </si>
  <si>
    <r>
      <rPr>
        <sz val="10.5"/>
        <rFont val="宋体"/>
        <family val="3"/>
        <charset val="134"/>
      </rPr>
      <t>离子化方式</t>
    </r>
  </si>
  <si>
    <r>
      <rPr>
        <sz val="10.5"/>
        <rFont val="宋体"/>
        <family val="3"/>
        <charset val="134"/>
      </rPr>
      <t>扫描方式</t>
    </r>
  </si>
  <si>
    <r>
      <rPr>
        <sz val="10.5"/>
        <rFont val="宋体"/>
        <family val="3"/>
        <charset val="134"/>
      </rPr>
      <t>多反应监测</t>
    </r>
  </si>
  <si>
    <r>
      <rPr>
        <sz val="10.5"/>
        <rFont val="宋体"/>
        <family val="3"/>
        <charset val="134"/>
      </rPr>
      <t>流动相及流速</t>
    </r>
  </si>
  <si>
    <r>
      <rPr>
        <sz val="10.5"/>
        <rFont val="宋体"/>
        <family val="3"/>
        <charset val="134"/>
      </rPr>
      <t>柱温</t>
    </r>
  </si>
  <si>
    <r>
      <rPr>
        <sz val="10.5"/>
        <rFont val="宋体"/>
        <family val="3"/>
        <charset val="134"/>
      </rPr>
      <t>样品的生物基质</t>
    </r>
  </si>
  <si>
    <r>
      <rPr>
        <sz val="10.5"/>
        <rFont val="宋体"/>
        <family val="3"/>
        <charset val="134"/>
      </rPr>
      <t>抗凝剂</t>
    </r>
  </si>
  <si>
    <r>
      <rPr>
        <sz val="10.5"/>
        <rFont val="宋体"/>
        <family val="3"/>
        <charset val="134"/>
      </rPr>
      <t>生物基质来源</t>
    </r>
  </si>
  <si>
    <r>
      <rPr>
        <sz val="10.5"/>
        <rFont val="宋体"/>
        <family val="3"/>
        <charset val="134"/>
      </rPr>
      <t>样品预处理方法</t>
    </r>
  </si>
  <si>
    <r>
      <rPr>
        <sz val="10.5"/>
        <rFont val="宋体"/>
        <family val="3"/>
        <charset val="134"/>
      </rPr>
      <t>进样量</t>
    </r>
  </si>
  <si>
    <r>
      <rPr>
        <sz val="10.5"/>
        <rFont val="宋体"/>
        <family val="3"/>
        <charset val="134"/>
      </rPr>
      <t>定量指标</t>
    </r>
  </si>
  <si>
    <r>
      <rPr>
        <sz val="10.5"/>
        <rFont val="宋体"/>
        <family val="3"/>
        <charset val="134"/>
      </rPr>
      <t>回归方程</t>
    </r>
  </si>
  <si>
    <r>
      <rPr>
        <sz val="10.5"/>
        <rFont val="宋体"/>
        <family val="3"/>
        <charset val="134"/>
      </rPr>
      <t>权重系数</t>
    </r>
  </si>
  <si>
    <r>
      <rPr>
        <sz val="10.5"/>
        <rFont val="宋体"/>
        <family val="3"/>
        <charset val="134"/>
      </rPr>
      <t>线性范围</t>
    </r>
  </si>
  <si>
    <r>
      <rPr>
        <sz val="10.5"/>
        <rFont val="宋体"/>
        <family val="3"/>
        <charset val="134"/>
      </rPr>
      <t>最低定量限（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</si>
  <si>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最低质控浓度（</t>
    </r>
    <r>
      <rPr>
        <sz val="10.5"/>
        <rFont val="Times New Roman"/>
        <family val="1"/>
      </rPr>
      <t>LLOQ QC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</si>
  <si>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质控浓度（</t>
    </r>
    <r>
      <rPr>
        <sz val="10.5"/>
        <rFont val="Times New Roman"/>
        <family val="1"/>
      </rPr>
      <t>QC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</si>
  <si>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准确度和精密度</t>
    </r>
    <phoneticPr fontId="3" type="noConversion"/>
  </si>
  <si>
    <r>
      <rPr>
        <sz val="10.5"/>
        <color theme="1"/>
        <rFont val="宋体"/>
        <family val="3"/>
        <charset val="134"/>
      </rPr>
      <t>批内准确度和精密度（除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以外的所有浓度质控）</t>
    </r>
  </si>
  <si>
    <r>
      <rPr>
        <sz val="10.5"/>
        <color theme="1"/>
        <rFont val="宋体"/>
        <family val="3"/>
        <charset val="134"/>
      </rPr>
      <t>批内准确度和精密度（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</si>
  <si>
    <r>
      <rPr>
        <sz val="10.5"/>
        <color theme="1"/>
        <rFont val="宋体"/>
        <family val="3"/>
        <charset val="134"/>
      </rPr>
      <t>批间准确度和精密度（除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以外的所有浓度质控）</t>
    </r>
  </si>
  <si>
    <r>
      <rPr>
        <sz val="10.5"/>
        <color theme="1"/>
        <rFont val="宋体"/>
        <family val="3"/>
        <charset val="134"/>
      </rPr>
      <t>批间准确度和精密度（</t>
    </r>
    <r>
      <rPr>
        <sz val="10.5"/>
        <color theme="1"/>
        <rFont val="Times New Roman"/>
        <family val="1"/>
      </rPr>
      <t>LLOQ QC</t>
    </r>
    <r>
      <rPr>
        <sz val="10.5"/>
        <color theme="1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</si>
  <si>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处理后样品的稳定性</t>
    </r>
    <r>
      <rPr>
        <sz val="10.5"/>
        <rFont val="Times New Roman"/>
        <family val="1"/>
      </rPr>
      <t xml:space="preserve"> </t>
    </r>
    <phoneticPr fontId="3" type="noConversion"/>
  </si>
  <si>
    <r>
      <rPr>
        <sz val="10.5"/>
        <rFont val="宋体"/>
        <family val="3"/>
        <charset val="134"/>
      </rPr>
      <t>最大分析批进样针数</t>
    </r>
  </si>
  <si>
    <r>
      <rPr>
        <sz val="10.5"/>
        <rFont val="宋体"/>
        <family val="3"/>
        <charset val="134"/>
      </rPr>
      <t>基质效应</t>
    </r>
    <phoneticPr fontId="3" type="noConversion"/>
  </si>
  <si>
    <r>
      <rPr>
        <sz val="10.5"/>
        <rFont val="宋体"/>
        <family val="3"/>
        <charset val="134"/>
      </rPr>
      <t>基质效应符合接受标准</t>
    </r>
    <phoneticPr fontId="3" type="noConversion"/>
  </si>
  <si>
    <r>
      <rPr>
        <sz val="10.5"/>
        <rFont val="宋体"/>
        <family val="3"/>
        <charset val="134"/>
      </rPr>
      <t>待测物残留率（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3" type="noConversion"/>
  </si>
  <si>
    <r>
      <rPr>
        <sz val="10.5"/>
        <rFont val="宋体"/>
        <family val="3"/>
        <charset val="134"/>
      </rPr>
      <t>差异</t>
    </r>
    <r>
      <rPr>
        <sz val="10.5"/>
        <rFont val="Times New Roman"/>
        <family val="1"/>
      </rPr>
      <t xml:space="preserve"> 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%</t>
    </r>
    <r>
      <rPr>
        <sz val="10.5"/>
        <rFont val="宋体"/>
        <family val="3"/>
        <charset val="134"/>
      </rPr>
      <t>）</t>
    </r>
    <phoneticPr fontId="3" type="noConversion"/>
  </si>
  <si>
    <r>
      <t>*</t>
    </r>
    <r>
      <rPr>
        <sz val="10.5"/>
        <rFont val="宋体"/>
        <family val="3"/>
        <charset val="134"/>
      </rPr>
      <t>表示不符合接受标准，不参与统计计算</t>
    </r>
    <phoneticPr fontId="3" type="noConversion"/>
  </si>
  <si>
    <r>
      <rPr>
        <sz val="10.5"/>
        <rFont val="宋体"/>
        <family val="3"/>
        <charset val="134"/>
      </rPr>
      <t>提取日期</t>
    </r>
  </si>
  <si>
    <r>
      <rPr>
        <sz val="10.5"/>
        <rFont val="宋体"/>
        <family val="3"/>
        <charset val="134"/>
      </rPr>
      <t>分析批是否接受</t>
    </r>
    <r>
      <rPr>
        <sz val="10.5"/>
        <rFont val="Times New Roman"/>
        <family val="1"/>
      </rPr>
      <t>RENS25315-AS</t>
    </r>
    <phoneticPr fontId="14" type="noConversion"/>
  </si>
  <si>
    <r>
      <rPr>
        <sz val="10.5"/>
        <rFont val="宋体"/>
        <family val="3"/>
        <charset val="134"/>
      </rPr>
      <t>分析批是否接受</t>
    </r>
    <r>
      <rPr>
        <sz val="10.5"/>
        <rFont val="Times New Roman"/>
        <family val="1"/>
      </rPr>
      <t>RENS25315-SS</t>
    </r>
    <phoneticPr fontId="14" type="noConversion"/>
  </si>
  <si>
    <r>
      <rPr>
        <sz val="10.5"/>
        <rFont val="宋体"/>
        <family val="3"/>
        <charset val="134"/>
      </rPr>
      <t>设备编号</t>
    </r>
  </si>
  <si>
    <r>
      <rPr>
        <sz val="10.5"/>
        <rFont val="宋体"/>
        <family val="3"/>
        <charset val="134"/>
      </rPr>
      <t>系统适用性，标准曲线及范围，第一批批内准确度和精密度，特异性，稳定性</t>
    </r>
    <r>
      <rPr>
        <sz val="10.5"/>
        <rFont val="Times New Roman"/>
        <family val="1"/>
      </rPr>
      <t>T</t>
    </r>
    <r>
      <rPr>
        <vertAlign val="subscript"/>
        <sz val="10.5"/>
        <rFont val="Times New Roman"/>
        <family val="1"/>
      </rPr>
      <t>0</t>
    </r>
    <r>
      <rPr>
        <sz val="10.5"/>
        <rFont val="宋体"/>
        <family val="3"/>
        <charset val="134"/>
      </rPr>
      <t>样品，稀释可靠性，残留评价</t>
    </r>
    <phoneticPr fontId="14" type="noConversion"/>
  </si>
  <si>
    <r>
      <rPr>
        <sz val="10.5"/>
        <rFont val="宋体"/>
        <family val="3"/>
        <charset val="134"/>
      </rPr>
      <t>否</t>
    </r>
    <r>
      <rPr>
        <vertAlign val="superscript"/>
        <sz val="10.5"/>
        <rFont val="Times New Roman"/>
        <family val="1"/>
      </rPr>
      <t>1</t>
    </r>
    <phoneticPr fontId="14" type="noConversion"/>
  </si>
  <si>
    <t>EQ2019F1</t>
  </si>
  <si>
    <r>
      <rPr>
        <sz val="10.5"/>
        <rFont val="宋体"/>
        <family val="3"/>
        <charset val="134"/>
      </rPr>
      <t>系统适用性，标准曲线及范围，第二批批内准确度和精密度，选择性，溶血效应，基质效应，最大进样针数（</t>
    </r>
    <r>
      <rPr>
        <sz val="10.5"/>
        <rFont val="Times New Roman"/>
        <family val="1"/>
      </rPr>
      <t>106</t>
    </r>
    <r>
      <rPr>
        <sz val="10.5"/>
        <rFont val="宋体"/>
        <family val="3"/>
        <charset val="134"/>
      </rPr>
      <t>针），残留评价</t>
    </r>
    <phoneticPr fontId="14" type="noConversion"/>
  </si>
  <si>
    <t>是</t>
    <phoneticPr fontId="14" type="noConversion"/>
  </si>
  <si>
    <t>系统适用性，提取回收率</t>
    <phoneticPr fontId="14" type="noConversion"/>
  </si>
  <si>
    <r>
      <rPr>
        <sz val="10.5"/>
        <rFont val="宋体"/>
        <family val="3"/>
        <charset val="134"/>
      </rPr>
      <t>不适用</t>
    </r>
    <r>
      <rPr>
        <vertAlign val="superscript"/>
        <sz val="10.5"/>
        <rFont val="Times New Roman"/>
        <family val="1"/>
      </rPr>
      <t>2</t>
    </r>
    <r>
      <rPr>
        <vertAlign val="superscript"/>
        <sz val="10.5"/>
        <rFont val="宋体"/>
        <family val="1"/>
        <charset val="134"/>
      </rPr>
      <t>，</t>
    </r>
    <r>
      <rPr>
        <vertAlign val="superscript"/>
        <sz val="10.5"/>
        <rFont val="Times New Roman"/>
        <family val="1"/>
      </rPr>
      <t>3</t>
    </r>
    <phoneticPr fontId="14" type="noConversion"/>
  </si>
  <si>
    <r>
      <rPr>
        <sz val="10.5"/>
        <rFont val="宋体"/>
        <family val="3"/>
        <charset val="134"/>
      </rPr>
      <t>系统适用性，全血稳定性</t>
    </r>
  </si>
  <si>
    <r>
      <rPr>
        <sz val="10.5"/>
        <rFont val="宋体"/>
        <family val="3"/>
        <charset val="134"/>
      </rPr>
      <t>不适用</t>
    </r>
    <r>
      <rPr>
        <vertAlign val="superscript"/>
        <sz val="10.5"/>
        <rFont val="Times New Roman"/>
        <family val="1"/>
      </rPr>
      <t>2</t>
    </r>
    <phoneticPr fontId="14" type="noConversion"/>
  </si>
  <si>
    <t>系统适用性，提取回收率</t>
  </si>
  <si>
    <r>
      <t>系统适用性，标准曲线及范围，第三批批内准确度和精密度，样品冻融稳定性，处理后样品稳定性</t>
    </r>
    <r>
      <rPr>
        <vertAlign val="superscript"/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，样品短期稳定性，残留评价</t>
    </r>
    <phoneticPr fontId="14" type="noConversion"/>
  </si>
  <si>
    <r>
      <t>是</t>
    </r>
    <r>
      <rPr>
        <vertAlign val="superscript"/>
        <sz val="10.5"/>
        <rFont val="Times New Roman"/>
        <family val="1"/>
      </rPr>
      <t>5</t>
    </r>
    <phoneticPr fontId="14" type="noConversion"/>
  </si>
  <si>
    <r>
      <t>系统适用性，标准曲线及范围，处理后样品稳定性</t>
    </r>
    <r>
      <rPr>
        <vertAlign val="superscript"/>
        <sz val="10.5"/>
        <rFont val="Times New Roman"/>
        <family val="1"/>
      </rPr>
      <t>6</t>
    </r>
    <r>
      <rPr>
        <sz val="10.5"/>
        <rFont val="宋体"/>
        <family val="3"/>
        <charset val="134"/>
      </rPr>
      <t>，残留评价</t>
    </r>
    <phoneticPr fontId="14" type="noConversion"/>
  </si>
  <si>
    <t>注1：分析批1标准曲线结果不满足接受标准，拒绝分析批，于分析批4重新考察。</t>
    <phoneticPr fontId="14" type="noConversion"/>
  </si>
  <si>
    <t>注2：该分析批无标曲质控样品。</t>
    <phoneticPr fontId="14" type="noConversion"/>
  </si>
  <si>
    <r>
      <rPr>
        <sz val="10.5"/>
        <rFont val="宋体"/>
        <family val="1"/>
        <charset val="134"/>
      </rPr>
      <t>注</t>
    </r>
    <r>
      <rPr>
        <sz val="10.5"/>
        <rFont val="Times New Roman"/>
        <family val="1"/>
      </rPr>
      <t>3</t>
    </r>
    <r>
      <rPr>
        <sz val="10.5"/>
        <rFont val="宋体"/>
        <family val="1"/>
        <charset val="134"/>
      </rPr>
      <t>：</t>
    </r>
    <r>
      <rPr>
        <sz val="10.5"/>
        <rFont val="Times New Roman"/>
        <family val="1"/>
      </rPr>
      <t>RENS25315-AS</t>
    </r>
    <r>
      <rPr>
        <sz val="10.5"/>
        <rFont val="宋体"/>
        <family val="1"/>
        <charset val="134"/>
      </rPr>
      <t>的提取回收率的</t>
    </r>
    <r>
      <rPr>
        <sz val="10.5"/>
        <rFont val="宋体"/>
        <family val="3"/>
        <charset val="134"/>
      </rPr>
      <t>总体变异</t>
    </r>
    <r>
      <rPr>
        <sz val="10.5"/>
        <rFont val="Times New Roman"/>
        <family val="3"/>
      </rPr>
      <t>%CV</t>
    </r>
    <r>
      <rPr>
        <sz val="10.5"/>
        <rFont val="宋体"/>
        <family val="3"/>
        <charset val="134"/>
      </rPr>
      <t>结果</t>
    </r>
    <r>
      <rPr>
        <sz val="10.5"/>
        <rFont val="宋体"/>
        <family val="1"/>
        <charset val="134"/>
      </rPr>
      <t>不满足接受标准。观察到该分析批中各浓度水平提取后样品的</t>
    </r>
    <r>
      <rPr>
        <sz val="10.5"/>
        <rFont val="Times New Roman"/>
        <family val="1"/>
      </rPr>
      <t>RENS25315-AS</t>
    </r>
    <r>
      <rPr>
        <sz val="10.5"/>
        <rFont val="宋体"/>
        <family val="1"/>
        <charset val="134"/>
      </rPr>
      <t>和</t>
    </r>
    <r>
      <rPr>
        <sz val="10.5"/>
        <rFont val="Times New Roman"/>
        <family val="1"/>
      </rPr>
      <t>RENS25315-SS</t>
    </r>
    <r>
      <rPr>
        <sz val="10.5"/>
        <rFont val="宋体"/>
        <family val="1"/>
        <charset val="134"/>
      </rPr>
      <t>的峰面积均低于同一天处理的分析批</t>
    </r>
    <r>
      <rPr>
        <sz val="10.5"/>
        <rFont val="Times New Roman"/>
        <family val="1"/>
      </rPr>
      <t>2</t>
    </r>
    <r>
      <rPr>
        <sz val="10.5"/>
        <rFont val="宋体"/>
        <family val="1"/>
        <charset val="134"/>
      </rPr>
      <t>中的质控样品的峰面积，怀疑该分析批存在处理问题，</t>
    </r>
    <r>
      <rPr>
        <sz val="10.5"/>
        <rFont val="宋体"/>
        <family val="3"/>
        <charset val="134"/>
      </rPr>
      <t>所有回收率结果不采用</t>
    </r>
    <r>
      <rPr>
        <sz val="10.5"/>
        <rFont val="宋体"/>
        <family val="1"/>
        <charset val="134"/>
      </rPr>
      <t>，于分析批</t>
    </r>
    <r>
      <rPr>
        <sz val="10.5"/>
        <rFont val="Times New Roman"/>
        <family val="1"/>
      </rPr>
      <t>6</t>
    </r>
    <r>
      <rPr>
        <sz val="10.5"/>
        <rFont val="宋体"/>
        <family val="1"/>
        <charset val="134"/>
      </rPr>
      <t>重新考察。</t>
    </r>
    <phoneticPr fontId="14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</si>
  <si>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：处理后样品稳定性实验所使用的样品于</t>
    </r>
    <r>
      <rPr>
        <sz val="10.5"/>
        <rFont val="Times New Roman"/>
        <family val="1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1"/>
      </rPr>
      <t>09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1"/>
      </rPr>
      <t>03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个分析批中制备。</t>
    </r>
    <phoneticPr fontId="14" type="noConversion"/>
  </si>
  <si>
    <r>
      <rPr>
        <sz val="10.5"/>
        <rFont val="宋体"/>
        <family val="3"/>
        <charset val="134"/>
      </rPr>
      <t>注5：</t>
    </r>
    <r>
      <rPr>
        <sz val="10.5"/>
        <rFont val="Times New Roman"/>
        <family val="3"/>
      </rPr>
      <t>RENS25315-SS</t>
    </r>
    <r>
      <rPr>
        <sz val="10.5"/>
        <rFont val="宋体"/>
        <family val="3"/>
        <charset val="134"/>
      </rPr>
      <t>处理后稳定性实验的结果不满足接受标准，于分析批8重新考察。</t>
    </r>
    <phoneticPr fontId="14" type="noConversion"/>
  </si>
  <si>
    <t>注6：处理后稳定性实验所使用样品于2025年09月08日第7个分析批中制备。</t>
    <phoneticPr fontId="14" type="noConversion"/>
  </si>
  <si>
    <t>EQ2020B2</t>
    <phoneticPr fontId="3" type="noConversion"/>
  </si>
  <si>
    <t>系统适用性，溶液稳定性</t>
    <phoneticPr fontId="3" type="noConversion"/>
  </si>
  <si>
    <t>系统适用性，标准曲线及范围，样品长期稳定性，残留评价</t>
    <phoneticPr fontId="14" type="noConversion"/>
  </si>
  <si>
    <t>RENS25315-AS</t>
  </si>
  <si>
    <t>RENS25315-AS，RENS25315-SS</t>
  </si>
  <si>
    <t>RENS25315-SS</t>
  </si>
  <si>
    <r>
      <rPr>
        <sz val="10.5"/>
        <rFont val="宋体"/>
        <family val="3"/>
        <charset val="134"/>
      </rPr>
      <t>峰面积比</t>
    </r>
    <phoneticPr fontId="3" type="noConversion"/>
  </si>
  <si>
    <r>
      <rPr>
        <sz val="10.5"/>
        <rFont val="宋体"/>
        <family val="3"/>
        <charset val="134"/>
      </rPr>
      <t>检测日期</t>
    </r>
    <phoneticPr fontId="3" type="noConversion"/>
  </si>
  <si>
    <r>
      <rPr>
        <sz val="10.5"/>
        <rFont val="宋体"/>
        <family val="3"/>
        <charset val="134"/>
      </rPr>
      <t>斜率</t>
    </r>
  </si>
  <si>
    <r>
      <rPr>
        <sz val="10.5"/>
        <rFont val="宋体"/>
        <family val="3"/>
        <charset val="134"/>
      </rPr>
      <t>截距</t>
    </r>
  </si>
  <si>
    <r>
      <t>R</t>
    </r>
    <r>
      <rPr>
        <vertAlign val="superscript"/>
        <sz val="10.5"/>
        <rFont val="Times New Roman"/>
        <family val="1"/>
      </rPr>
      <t>2</t>
    </r>
  </si>
  <si>
    <r>
      <t>LLOQ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ng/mL</t>
    </r>
    <r>
      <rPr>
        <sz val="10.5"/>
        <rFont val="宋体"/>
        <family val="3"/>
        <charset val="134"/>
      </rPr>
      <t>）</t>
    </r>
    <phoneticPr fontId="3" type="noConversion"/>
  </si>
  <si>
    <r>
      <t xml:space="preserve">ULOQ
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ng/mL</t>
    </r>
    <r>
      <rPr>
        <sz val="10.5"/>
        <rFont val="宋体"/>
        <family val="3"/>
        <charset val="134"/>
      </rPr>
      <t>）</t>
    </r>
    <phoneticPr fontId="3" type="noConversion"/>
  </si>
  <si>
    <r>
      <rPr>
        <sz val="10.5"/>
        <rFont val="宋体"/>
        <family val="3"/>
        <charset val="134"/>
      </rPr>
      <t>平均值</t>
    </r>
    <phoneticPr fontId="3" type="noConversion"/>
  </si>
  <si>
    <t>RENS25315-SS</t>
    <phoneticPr fontId="3" type="noConversion"/>
  </si>
  <si>
    <r>
      <rPr>
        <sz val="10.5"/>
        <rFont val="宋体"/>
        <family val="3"/>
        <charset val="134"/>
      </rPr>
      <t>注：拒绝原因见表</t>
    </r>
    <r>
      <rPr>
        <sz val="10.5"/>
        <rFont val="Times New Roman"/>
        <family val="1"/>
      </rPr>
      <t>1</t>
    </r>
    <phoneticPr fontId="3" type="noConversion"/>
  </si>
  <si>
    <t>9.260</t>
  </si>
  <si>
    <t>46.298</t>
  </si>
  <si>
    <t>231.490</t>
  </si>
  <si>
    <t>925.961</t>
  </si>
  <si>
    <t>1851.922</t>
  </si>
  <si>
    <t>3703.844</t>
  </si>
  <si>
    <t>4629.805</t>
  </si>
  <si>
    <t xml:space="preserve"> RENS25315-AS </t>
  </si>
  <si>
    <t>5.370</t>
  </si>
  <si>
    <t>10.740</t>
  </si>
  <si>
    <t>53.702</t>
  </si>
  <si>
    <t>268.508</t>
  </si>
  <si>
    <t>1074.034</t>
  </si>
  <si>
    <t>2148.067</t>
  </si>
  <si>
    <t>4296.134</t>
  </si>
  <si>
    <t>5370.168</t>
  </si>
  <si>
    <t xml:space="preserve"> RENS25315-SS </t>
    <phoneticPr fontId="3" type="noConversion"/>
  </si>
  <si>
    <t>*8.032</t>
  </si>
  <si>
    <t>*63.959</t>
  </si>
  <si>
    <t>*327.832</t>
  </si>
  <si>
    <r>
      <rPr>
        <sz val="11"/>
        <rFont val="宋体"/>
        <family val="2"/>
      </rPr>
      <t>检测日期</t>
    </r>
  </si>
  <si>
    <r>
      <rPr>
        <sz val="11"/>
        <rFont val="宋体"/>
        <family val="2"/>
      </rPr>
      <t>检测批次编号</t>
    </r>
  </si>
  <si>
    <r>
      <rPr>
        <sz val="11"/>
        <rFont val="宋体"/>
        <family val="2"/>
      </rPr>
      <t>准确度偏差</t>
    </r>
    <r>
      <rPr>
        <sz val="11"/>
        <rFont val="Times New Roman"/>
        <family val="1"/>
      </rPr>
      <t>%</t>
    </r>
  </si>
  <si>
    <t>*774.583</t>
  </si>
  <si>
    <t>*57.697</t>
  </si>
  <si>
    <t>*274.012</t>
  </si>
  <si>
    <t>*1108.948</t>
  </si>
  <si>
    <t>*42.808</t>
  </si>
  <si>
    <t>*828.184</t>
  </si>
  <si>
    <t>*13.718</t>
  </si>
  <si>
    <t>*72.787</t>
  </si>
  <si>
    <t>*337.648</t>
  </si>
  <si>
    <t>*1334.663</t>
  </si>
  <si>
    <t>GMQC</t>
    <phoneticPr fontId="3" type="noConversion"/>
  </si>
  <si>
    <t>MQC</t>
    <phoneticPr fontId="3" type="noConversion"/>
  </si>
  <si>
    <t>RENS25315-AS</t>
    <phoneticPr fontId="14" type="noConversion"/>
  </si>
  <si>
    <r>
      <rPr>
        <sz val="11"/>
        <rFont val="宋体"/>
        <family val="3"/>
        <charset val="134"/>
      </rPr>
      <t>接受批：</t>
    </r>
    <phoneticPr fontId="14" type="noConversion"/>
  </si>
  <si>
    <t>RENS25315-SS</t>
    <phoneticPr fontId="14" type="noConversion"/>
  </si>
  <si>
    <t>NS25315BV01 ISS Fresh 1</t>
  </si>
  <si>
    <t>NS25315BV01 ISS Fresh 2</t>
  </si>
  <si>
    <t>NS25315BV01 ISS Fresh 3</t>
  </si>
  <si>
    <t>NS25315BV01 ISS Fresh 4</t>
  </si>
  <si>
    <t>NS25315BV01 ISS Fresh 5</t>
  </si>
  <si>
    <t>NS25315BV01 ISS Fresh 6</t>
  </si>
  <si>
    <t>NS25315BV01 ISS ST 1</t>
  </si>
  <si>
    <t>NS25315BV01 ISS ST 2</t>
  </si>
  <si>
    <t>NS25315BV01 ISS ST 3</t>
  </si>
  <si>
    <t>NS25315BV01 ISS ST 4</t>
  </si>
  <si>
    <t>NS25315BV01 ISS ST 5</t>
  </si>
  <si>
    <t>NS25315BV01 ISS ST 6</t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</si>
  <si>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9</t>
    </r>
    <phoneticPr fontId="3" type="noConversion"/>
  </si>
  <si>
    <r>
      <rPr>
        <sz val="10.5"/>
        <rFont val="宋体"/>
        <family val="3"/>
        <charset val="134"/>
      </rPr>
      <t>储存条件：室温白光</t>
    </r>
    <r>
      <rPr>
        <sz val="10.5"/>
        <rFont val="Times New Roman"/>
        <family val="1"/>
      </rPr>
      <t>22</t>
    </r>
    <r>
      <rPr>
        <sz val="10.5"/>
        <rFont val="宋体"/>
        <family val="3"/>
        <charset val="134"/>
      </rPr>
      <t>小时</t>
    </r>
    <phoneticPr fontId="3" type="noConversion"/>
  </si>
  <si>
    <r>
      <rPr>
        <sz val="10.5"/>
        <rFont val="宋体"/>
        <family val="3"/>
        <charset val="134"/>
      </rPr>
      <t>样品名称</t>
    </r>
    <phoneticPr fontId="3" type="noConversion"/>
  </si>
  <si>
    <r>
      <rPr>
        <sz val="10.5"/>
        <rFont val="宋体"/>
        <family val="3"/>
        <charset val="134"/>
      </rPr>
      <t>待测物峰面积</t>
    </r>
    <phoneticPr fontId="3" type="noConversion"/>
  </si>
  <si>
    <r>
      <rPr>
        <sz val="10.5"/>
        <rFont val="宋体"/>
        <family val="3"/>
        <charset val="134"/>
      </rPr>
      <t>内标峰面积</t>
    </r>
    <phoneticPr fontId="3" type="noConversion"/>
  </si>
  <si>
    <r>
      <rPr>
        <sz val="10.5"/>
        <rFont val="宋体"/>
        <family val="3"/>
        <charset val="134"/>
      </rPr>
      <t>内标峰面积</t>
    </r>
    <r>
      <rPr>
        <sz val="10.5"/>
        <rFont val="Times New Roman"/>
        <family val="1"/>
      </rPr>
      <t>/</t>
    </r>
    <r>
      <rPr>
        <sz val="10.5"/>
        <rFont val="宋体"/>
        <family val="3"/>
        <charset val="134"/>
      </rPr>
      <t>待测物峰面积</t>
    </r>
    <phoneticPr fontId="3" type="noConversion"/>
  </si>
  <si>
    <t>NS25315BV01 ISS LT 1</t>
  </si>
  <si>
    <t>NS25315BV01 ISS LT 2</t>
  </si>
  <si>
    <t>NS25315BV01 ISS LT 3</t>
  </si>
  <si>
    <t>NS25315BV01 ISS LT 4</t>
  </si>
  <si>
    <t>NS25315BV01 ISS LT 5</t>
  </si>
  <si>
    <t>NS25315BV01 ISS LT 6</t>
  </si>
  <si>
    <t>检测批次编号：9</t>
    <phoneticPr fontId="3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</si>
  <si>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15</t>
    </r>
    <r>
      <rPr>
        <sz val="10.5"/>
        <rFont val="宋体"/>
        <family val="3"/>
        <charset val="134"/>
      </rPr>
      <t>：工作液短期稳定性（</t>
    </r>
    <r>
      <rPr>
        <sz val="10.5"/>
        <rFont val="Times New Roman"/>
        <family val="1"/>
      </rPr>
      <t>LLOQ</t>
    </r>
    <r>
      <rPr>
        <sz val="10.5"/>
        <rFont val="宋体"/>
        <family val="3"/>
        <charset val="134"/>
      </rPr>
      <t>和内标工作液稳定性）</t>
    </r>
    <phoneticPr fontId="3" type="noConversion"/>
  </si>
  <si>
    <t>NS25315BV01 WS IS Fresh 1</t>
  </si>
  <si>
    <t>NS25315BV01 WS IS Fresh 2</t>
  </si>
  <si>
    <t>NS25315BV01 WS IS Fresh 3</t>
  </si>
  <si>
    <t>NS25315BV01 WS IS Fresh 4</t>
  </si>
  <si>
    <t>NS25315BV01 WS IS Fresh 5</t>
  </si>
  <si>
    <t>NS25315BV01 WS IS Fresh 6</t>
  </si>
  <si>
    <t>NS25315BV01 WS IS ST 1</t>
  </si>
  <si>
    <t>NS25315BV01 WS IS ST 2</t>
  </si>
  <si>
    <t>NS25315BV01 WS IS ST 3</t>
  </si>
  <si>
    <t>NS25315BV01 WS IS ST 4</t>
  </si>
  <si>
    <t>NS25315BV01 WS IS ST 5</t>
  </si>
  <si>
    <t>NS25315BV01 WS IS ST 6</t>
  </si>
  <si>
    <t>NS25315BV01 WS IS LT 1</t>
  </si>
  <si>
    <t>NS25315BV01 WS IS LT 2</t>
  </si>
  <si>
    <t>NS25315BV01 WS IS LT 3</t>
  </si>
  <si>
    <t>NS25315BV01 WS IS LT 4</t>
  </si>
  <si>
    <t>NS25315BV01 WS IS LT 5</t>
  </si>
  <si>
    <t>NS25315BV01 WS IS LT 6</t>
  </si>
  <si>
    <t>KN-BM-25-541</t>
    <phoneticPr fontId="14" type="noConversion"/>
  </si>
  <si>
    <t>KN-BM-25-534</t>
    <phoneticPr fontId="14" type="noConversion"/>
  </si>
  <si>
    <r>
      <rPr>
        <sz val="10"/>
        <rFont val="宋体"/>
        <family val="3"/>
        <charset val="134"/>
      </rPr>
      <t>基质</t>
    </r>
  </si>
  <si>
    <r>
      <rPr>
        <sz val="10"/>
        <rFont val="宋体"/>
        <family val="3"/>
        <charset val="134"/>
      </rPr>
      <t>供应商</t>
    </r>
  </si>
  <si>
    <r>
      <rPr>
        <sz val="10"/>
        <rFont val="宋体"/>
        <family val="3"/>
        <charset val="134"/>
      </rPr>
      <t>益诺思登记号</t>
    </r>
  </si>
  <si>
    <r>
      <rPr>
        <sz val="10"/>
        <rFont val="宋体"/>
        <family val="3"/>
        <charset val="134"/>
      </rPr>
      <t>接收日期</t>
    </r>
  </si>
  <si>
    <r>
      <t>SD</t>
    </r>
    <r>
      <rPr>
        <sz val="10"/>
        <rFont val="宋体"/>
        <family val="3"/>
        <charset val="134"/>
      </rPr>
      <t>大鼠</t>
    </r>
    <r>
      <rPr>
        <sz val="10"/>
        <rFont val="Times New Roman"/>
        <family val="1"/>
      </rPr>
      <t>EDTA-K</t>
    </r>
    <r>
      <rPr>
        <vertAlign val="subscript"/>
        <sz val="10"/>
        <rFont val="Times New Roman"/>
        <family val="1"/>
      </rPr>
      <t>2</t>
    </r>
    <r>
      <rPr>
        <sz val="10"/>
        <rFont val="宋体"/>
        <family val="3"/>
        <charset val="134"/>
      </rPr>
      <t>血浆</t>
    </r>
    <phoneticPr fontId="14" type="noConversion"/>
  </si>
  <si>
    <r>
      <rPr>
        <sz val="10"/>
        <rFont val="宋体"/>
        <family val="3"/>
        <charset val="134"/>
      </rPr>
      <t>上海益诺思生物技术股份有限公司</t>
    </r>
  </si>
  <si>
    <r>
      <t>SD</t>
    </r>
    <r>
      <rPr>
        <sz val="10"/>
        <rFont val="宋体"/>
        <family val="3"/>
        <charset val="134"/>
      </rPr>
      <t>大鼠</t>
    </r>
    <r>
      <rPr>
        <sz val="10"/>
        <rFont val="Times New Roman"/>
        <family val="1"/>
      </rPr>
      <t>EDTA-K</t>
    </r>
    <r>
      <rPr>
        <vertAlign val="subscript"/>
        <sz val="10"/>
        <rFont val="Times New Roman"/>
        <family val="1"/>
      </rPr>
      <t>2</t>
    </r>
    <r>
      <rPr>
        <sz val="10"/>
        <rFont val="宋体"/>
        <family val="3"/>
        <charset val="134"/>
      </rPr>
      <t>全血</t>
    </r>
    <phoneticPr fontId="14" type="noConversion"/>
  </si>
  <si>
    <r>
      <rPr>
        <sz val="11"/>
        <color theme="1"/>
        <rFont val="宋体"/>
        <family val="2"/>
      </rPr>
      <t>乙腈</t>
    </r>
  </si>
  <si>
    <r>
      <rPr>
        <sz val="11"/>
        <color theme="1"/>
        <rFont val="宋体"/>
        <family val="2"/>
      </rPr>
      <t>上海安谱实验科技股份有限公司</t>
    </r>
  </si>
  <si>
    <r>
      <rPr>
        <sz val="11"/>
        <color theme="1"/>
        <rFont val="宋体"/>
        <family val="2"/>
      </rPr>
      <t>液相色谱纯</t>
    </r>
  </si>
  <si>
    <r>
      <rPr>
        <sz val="11"/>
        <color theme="1"/>
        <rFont val="宋体"/>
        <family val="2"/>
      </rPr>
      <t>甲醇</t>
    </r>
  </si>
  <si>
    <r>
      <rPr>
        <sz val="11"/>
        <color theme="1"/>
        <rFont val="宋体"/>
        <family val="2"/>
      </rPr>
      <t>二甲基亚砜</t>
    </r>
    <r>
      <rPr>
        <sz val="11"/>
        <color theme="1"/>
        <rFont val="Times New Roman"/>
        <family val="1"/>
      </rPr>
      <t xml:space="preserve">  </t>
    </r>
  </si>
  <si>
    <r>
      <rPr>
        <sz val="11"/>
        <color theme="1"/>
        <rFont val="宋体"/>
        <family val="2"/>
      </rPr>
      <t>异丙醇</t>
    </r>
    <r>
      <rPr>
        <sz val="11"/>
        <color theme="1"/>
        <rFont val="Times New Roman"/>
        <family val="1"/>
      </rPr>
      <t xml:space="preserve"> </t>
    </r>
  </si>
  <si>
    <r>
      <rPr>
        <sz val="11"/>
        <color theme="1"/>
        <rFont val="宋体"/>
        <family val="2"/>
      </rPr>
      <t>六氟异丙醇</t>
    </r>
  </si>
  <si>
    <r>
      <rPr>
        <sz val="11"/>
        <color theme="1"/>
        <rFont val="宋体"/>
        <family val="2"/>
      </rPr>
      <t>苏州昊帆生物股份有限公司</t>
    </r>
  </si>
  <si>
    <r>
      <rPr>
        <sz val="11"/>
        <color theme="1"/>
        <rFont val="宋体"/>
        <family val="2"/>
      </rPr>
      <t>≥</t>
    </r>
    <r>
      <rPr>
        <sz val="11"/>
        <color theme="1"/>
        <rFont val="Times New Roman"/>
        <family val="1"/>
      </rPr>
      <t>99%</t>
    </r>
  </si>
  <si>
    <r>
      <rPr>
        <sz val="11"/>
        <color theme="1"/>
        <rFont val="宋体"/>
        <family val="2"/>
      </rPr>
      <t>甲酸</t>
    </r>
  </si>
  <si>
    <r>
      <rPr>
        <sz val="11"/>
        <color theme="1"/>
        <rFont val="宋体"/>
        <family val="2"/>
      </rPr>
      <t>三乙胺</t>
    </r>
  </si>
  <si>
    <t>上海阿拉丁生化科技股份有限公司</t>
  </si>
  <si>
    <r>
      <t>N</t>
    </r>
    <r>
      <rPr>
        <sz val="11"/>
        <color theme="1"/>
        <rFont val="宋体"/>
        <family val="2"/>
      </rPr>
      <t>，</t>
    </r>
    <r>
      <rPr>
        <sz val="11"/>
        <color theme="1"/>
        <rFont val="Times New Roman"/>
        <family val="1"/>
      </rPr>
      <t>N-</t>
    </r>
    <r>
      <rPr>
        <sz val="11"/>
        <color theme="1"/>
        <rFont val="宋体"/>
        <family val="2"/>
      </rPr>
      <t>二异丙基乙胺</t>
    </r>
  </si>
  <si>
    <r>
      <rPr>
        <sz val="11"/>
        <color theme="1"/>
        <rFont val="宋体"/>
        <family val="2"/>
      </rPr>
      <t>≥</t>
    </r>
    <r>
      <rPr>
        <sz val="11"/>
        <color theme="1"/>
        <rFont val="Times New Roman"/>
        <family val="1"/>
      </rPr>
      <t>99.5%</t>
    </r>
  </si>
  <si>
    <r>
      <rPr>
        <sz val="11"/>
        <color theme="1"/>
        <rFont val="宋体"/>
        <family val="2"/>
      </rPr>
      <t>二氯甲烷</t>
    </r>
  </si>
  <si>
    <r>
      <rPr>
        <sz val="11"/>
        <color theme="1"/>
        <rFont val="宋体"/>
        <family val="2"/>
      </rPr>
      <t>国药集团化学试剂有限公司</t>
    </r>
  </si>
  <si>
    <r>
      <rPr>
        <sz val="11"/>
        <color theme="1"/>
        <rFont val="宋体"/>
        <family val="2"/>
      </rPr>
      <t>氨水</t>
    </r>
  </si>
  <si>
    <r>
      <rPr>
        <sz val="11"/>
        <color theme="1"/>
        <rFont val="宋体"/>
        <family val="2"/>
      </rPr>
      <t>上海阿拉丁生化科技股份有限公司</t>
    </r>
  </si>
  <si>
    <r>
      <rPr>
        <sz val="11"/>
        <color theme="1"/>
        <rFont val="宋体"/>
        <family val="2"/>
      </rPr>
      <t>苯酚</t>
    </r>
  </si>
  <si>
    <r>
      <rPr>
        <sz val="11"/>
        <color theme="1"/>
        <rFont val="宋体"/>
        <family val="2"/>
      </rPr>
      <t>分析纯</t>
    </r>
  </si>
  <si>
    <r>
      <rPr>
        <sz val="11"/>
        <color theme="1"/>
        <rFont val="宋体"/>
        <family val="2"/>
      </rPr>
      <t>乙二胺四乙酸（</t>
    </r>
    <r>
      <rPr>
        <sz val="11"/>
        <color theme="1"/>
        <rFont val="Times New Roman"/>
        <family val="1"/>
      </rPr>
      <t>EDTA</t>
    </r>
    <r>
      <rPr>
        <sz val="11"/>
        <color theme="1"/>
        <rFont val="宋体"/>
        <family val="2"/>
      </rPr>
      <t>）</t>
    </r>
  </si>
  <si>
    <r>
      <rPr>
        <sz val="11"/>
        <color theme="1"/>
        <rFont val="宋体"/>
        <family val="2"/>
      </rPr>
      <t>上海麦克林生化科技股份有限公司</t>
    </r>
  </si>
  <si>
    <r>
      <rPr>
        <sz val="11"/>
        <color theme="1"/>
        <rFont val="宋体"/>
        <family val="2"/>
      </rPr>
      <t>三（</t>
    </r>
    <r>
      <rPr>
        <sz val="11"/>
        <color theme="1"/>
        <rFont val="Times New Roman"/>
        <family val="1"/>
      </rPr>
      <t>2-</t>
    </r>
    <r>
      <rPr>
        <sz val="11"/>
        <color theme="1"/>
        <rFont val="宋体"/>
        <family val="2"/>
      </rPr>
      <t>羧乙基）膦（</t>
    </r>
    <r>
      <rPr>
        <sz val="11"/>
        <color theme="1"/>
        <rFont val="Times New Roman"/>
        <family val="1"/>
      </rPr>
      <t>TCEP</t>
    </r>
    <r>
      <rPr>
        <sz val="11"/>
        <color theme="1"/>
        <rFont val="宋体"/>
        <family val="2"/>
      </rPr>
      <t>）</t>
    </r>
  </si>
  <si>
    <t>97.5% ~ 102.5%</t>
  </si>
  <si>
    <r>
      <rPr>
        <sz val="11"/>
        <color theme="1"/>
        <rFont val="宋体"/>
        <family val="2"/>
      </rPr>
      <t>化合物名称</t>
    </r>
  </si>
  <si>
    <t>Vutrisiran</t>
  </si>
  <si>
    <r>
      <rPr>
        <sz val="11"/>
        <color theme="1"/>
        <rFont val="宋体"/>
        <family val="2"/>
      </rPr>
      <t>化合物代码</t>
    </r>
  </si>
  <si>
    <r>
      <t>ISNS25315</t>
    </r>
    <r>
      <rPr>
        <sz val="12"/>
        <color theme="1"/>
        <rFont val="宋体"/>
        <family val="3"/>
        <charset val="134"/>
      </rPr>
      <t>钠盐</t>
    </r>
  </si>
  <si>
    <r>
      <rPr>
        <sz val="11"/>
        <color theme="1"/>
        <rFont val="宋体"/>
        <family val="2"/>
      </rPr>
      <t>标准品登记号</t>
    </r>
  </si>
  <si>
    <t>KN-RS-25-0406</t>
  </si>
  <si>
    <r>
      <rPr>
        <sz val="11"/>
        <color theme="1"/>
        <rFont val="宋体"/>
        <family val="2"/>
      </rPr>
      <t>批号</t>
    </r>
  </si>
  <si>
    <t>2411683DS</t>
  </si>
  <si>
    <r>
      <rPr>
        <sz val="11"/>
        <color theme="1"/>
        <rFont val="宋体"/>
        <family val="2"/>
      </rPr>
      <t>保存条件</t>
    </r>
  </si>
  <si>
    <t>-15 ~ -25ºC</t>
  </si>
  <si>
    <r>
      <rPr>
        <sz val="11"/>
        <color theme="1"/>
        <rFont val="宋体"/>
        <family val="2"/>
      </rPr>
      <t>有效期至</t>
    </r>
  </si>
  <si>
    <r>
      <rPr>
        <sz val="11"/>
        <color theme="1"/>
        <rFont val="宋体"/>
        <family val="2"/>
      </rPr>
      <t>来源</t>
    </r>
  </si>
  <si>
    <r>
      <rPr>
        <sz val="12"/>
        <color theme="1"/>
        <rFont val="宋体"/>
        <family val="3"/>
        <charset val="134"/>
      </rPr>
      <t>成都倍特药业股份有限公司</t>
    </r>
  </si>
  <si>
    <t>化合物名称：</t>
  </si>
  <si>
    <t>BPR-30160639</t>
  </si>
  <si>
    <t>化合物代码：</t>
  </si>
  <si>
    <r>
      <t>RENS25315</t>
    </r>
    <r>
      <rPr>
        <sz val="12"/>
        <color theme="1"/>
        <rFont val="宋体"/>
        <family val="3"/>
        <charset val="134"/>
      </rPr>
      <t>钠盐</t>
    </r>
  </si>
  <si>
    <t>标准品登记号：</t>
  </si>
  <si>
    <t>KN-RS-25-0411</t>
  </si>
  <si>
    <t>批号：</t>
  </si>
  <si>
    <t>KA066-202508001</t>
  </si>
  <si>
    <t>盐分子量：</t>
  </si>
  <si>
    <t>游离型分子量：</t>
  </si>
  <si>
    <t>反义链游离型分子量：</t>
  </si>
  <si>
    <t>正义链游离型分子量：</t>
  </si>
  <si>
    <t>含量：</t>
  </si>
  <si>
    <t>游离型含量：</t>
  </si>
  <si>
    <t>83.26%*</t>
  </si>
  <si>
    <t>保存条件：</t>
  </si>
  <si>
    <t xml:space="preserve">-15 ~ -25ºC </t>
  </si>
  <si>
    <t>有效期至：</t>
  </si>
  <si>
    <t>来源：</t>
  </si>
  <si>
    <t>上海兆维生物工程有限公司</t>
  </si>
  <si>
    <r>
      <t>*</t>
    </r>
    <r>
      <rPr>
        <i/>
        <sz val="12"/>
        <color theme="1"/>
        <rFont val="宋体"/>
        <family val="3"/>
        <charset val="134"/>
      </rPr>
      <t>游离型含量</t>
    </r>
    <r>
      <rPr>
        <i/>
        <sz val="12"/>
        <color theme="1"/>
        <rFont val="Times New Roman"/>
        <family val="1"/>
      </rPr>
      <t xml:space="preserve"> = </t>
    </r>
    <r>
      <rPr>
        <i/>
        <sz val="12"/>
        <color theme="1"/>
        <rFont val="宋体"/>
        <family val="3"/>
        <charset val="134"/>
      </rPr>
      <t>含量</t>
    </r>
    <r>
      <rPr>
        <i/>
        <sz val="12"/>
        <color theme="1"/>
        <rFont val="Times New Roman"/>
        <family val="1"/>
      </rPr>
      <t xml:space="preserve"> × </t>
    </r>
    <r>
      <rPr>
        <i/>
        <sz val="12"/>
        <color theme="1"/>
        <rFont val="宋体"/>
        <family val="3"/>
        <charset val="134"/>
      </rPr>
      <t>游离型分子量</t>
    </r>
    <r>
      <rPr>
        <i/>
        <sz val="12"/>
        <color theme="1"/>
        <rFont val="Times New Roman"/>
        <family val="1"/>
      </rPr>
      <t xml:space="preserve"> ÷ </t>
    </r>
    <r>
      <rPr>
        <i/>
        <sz val="12"/>
        <color theme="1"/>
        <rFont val="宋体"/>
        <family val="3"/>
        <charset val="134"/>
      </rPr>
      <t>盐分子量</t>
    </r>
    <r>
      <rPr>
        <i/>
        <sz val="12"/>
        <color theme="1"/>
        <rFont val="Times New Roman"/>
        <family val="1"/>
      </rPr>
      <t xml:space="preserve"> = 88.0% × 15066.94 ÷ 15924.23 = 83.26%</t>
    </r>
  </si>
  <si>
    <t>Shimadzu</t>
    <phoneticPr fontId="3" type="noConversion"/>
  </si>
  <si>
    <t>LC-30AD</t>
  </si>
  <si>
    <r>
      <t>Sciex Analyst</t>
    </r>
    <r>
      <rPr>
        <sz val="10.5"/>
        <rFont val="宋体"/>
        <family val="3"/>
        <charset val="134"/>
      </rPr>
      <t>（版本</t>
    </r>
    <r>
      <rPr>
        <sz val="10.5"/>
        <rFont val="Times New Roman"/>
        <family val="1"/>
      </rPr>
      <t>1.6.3&amp;1.7.1</t>
    </r>
    <r>
      <rPr>
        <sz val="10.5"/>
        <rFont val="宋体"/>
        <family val="3"/>
        <charset val="134"/>
      </rPr>
      <t>），</t>
    </r>
    <r>
      <rPr>
        <sz val="10.5"/>
        <rFont val="Times New Roman"/>
        <family val="1"/>
      </rPr>
      <t>Watson LIMS</t>
    </r>
    <r>
      <rPr>
        <sz val="10.5"/>
        <rFont val="宋体"/>
        <family val="3"/>
        <charset val="134"/>
      </rPr>
      <t>（版本</t>
    </r>
    <r>
      <rPr>
        <sz val="10.5"/>
        <rFont val="Times New Roman"/>
        <family val="1"/>
      </rPr>
      <t>7.4.2</t>
    </r>
    <r>
      <rPr>
        <sz val="10.5"/>
        <rFont val="宋体"/>
        <family val="3"/>
        <charset val="134"/>
      </rPr>
      <t>）</t>
    </r>
    <phoneticPr fontId="3" type="noConversion"/>
  </si>
  <si>
    <r>
      <t>TRIPLE QUADTM 6500</t>
    </r>
    <r>
      <rPr>
        <vertAlign val="superscript"/>
        <sz val="10.5"/>
        <rFont val="Times New Roman"/>
        <family val="1"/>
      </rPr>
      <t>+</t>
    </r>
    <phoneticPr fontId="3" type="noConversion"/>
  </si>
  <si>
    <r>
      <rPr>
        <sz val="10.5"/>
        <rFont val="宋体"/>
        <family val="3"/>
        <charset val="134"/>
      </rPr>
      <t>序列号：</t>
    </r>
    <r>
      <rPr>
        <sz val="10.5"/>
        <rFont val="Times New Roman"/>
        <family val="1"/>
      </rPr>
      <t>006225</t>
    </r>
    <phoneticPr fontId="3" type="noConversion"/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</si>
  <si>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B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MeOH:ACN: H</t>
    </r>
    <r>
      <rPr>
        <vertAlign val="subscript"/>
        <sz val="10.5"/>
        <rFont val="Times New Roman"/>
        <family val="1"/>
      </rPr>
      <t>2</t>
    </r>
    <r>
      <rPr>
        <sz val="10.5"/>
        <rFont val="Times New Roman"/>
        <family val="1"/>
      </rPr>
      <t>O=5:2:3</t>
    </r>
    <r>
      <rPr>
        <sz val="10.5"/>
        <rFont val="宋体"/>
        <family val="1"/>
        <charset val="134"/>
      </rPr>
      <t>，</t>
    </r>
    <r>
      <rPr>
        <sz val="10.5"/>
        <rFont val="Times New Roman"/>
        <family val="1"/>
      </rPr>
      <t>v/v/v</t>
    </r>
    <phoneticPr fontId="3" type="noConversion"/>
  </si>
  <si>
    <t>70.0°C</t>
    <phoneticPr fontId="3" type="noConversion"/>
  </si>
  <si>
    <t>30 μL</t>
    <phoneticPr fontId="3" type="noConversion"/>
  </si>
  <si>
    <t>ISNS25315</t>
    <phoneticPr fontId="3" type="noConversion"/>
  </si>
  <si>
    <r>
      <rPr>
        <sz val="10.5"/>
        <rFont val="宋体"/>
        <family val="3"/>
        <charset val="134"/>
      </rPr>
      <t>流速：</t>
    </r>
    <r>
      <rPr>
        <sz val="10.5"/>
        <rFont val="Times New Roman"/>
        <family val="1"/>
      </rPr>
      <t>0.400 mL/min</t>
    </r>
    <phoneticPr fontId="3" type="noConversion"/>
  </si>
  <si>
    <r>
      <t>SD</t>
    </r>
    <r>
      <rPr>
        <sz val="10.5"/>
        <rFont val="宋体"/>
        <family val="3"/>
        <charset val="134"/>
      </rPr>
      <t>大鼠血浆</t>
    </r>
    <phoneticPr fontId="3" type="noConversion"/>
  </si>
  <si>
    <r>
      <t>EDTA-K</t>
    </r>
    <r>
      <rPr>
        <vertAlign val="subscript"/>
        <sz val="10.5"/>
        <rFont val="Times New Roman"/>
        <family val="1"/>
      </rPr>
      <t>2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</si>
  <si>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RENS25315-AS</t>
    </r>
    <r>
      <rPr>
        <sz val="10.5"/>
        <rFont val="宋体"/>
        <family val="3"/>
        <charset val="134"/>
      </rPr>
      <t>峰面积与内标</t>
    </r>
    <r>
      <rPr>
        <sz val="10.5"/>
        <rFont val="Times New Roman"/>
        <family val="1"/>
      </rPr>
      <t>ISNS25315</t>
    </r>
    <r>
      <rPr>
        <sz val="10.5"/>
        <rFont val="宋体"/>
        <family val="3"/>
        <charset val="134"/>
      </rPr>
      <t xml:space="preserve">峰面积比；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峰面积与内标</t>
    </r>
    <r>
      <rPr>
        <sz val="10.5"/>
        <rFont val="Times New Roman"/>
        <family val="1"/>
      </rPr>
      <t>ISNS25315</t>
    </r>
    <r>
      <rPr>
        <sz val="10.5"/>
        <rFont val="宋体"/>
        <family val="3"/>
        <charset val="134"/>
      </rPr>
      <t>峰面积比</t>
    </r>
    <phoneticPr fontId="3" type="noConversion"/>
  </si>
  <si>
    <r>
      <t>1/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x*x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</si>
  <si>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空白血浆中内源性组份对</t>
    </r>
    <r>
      <rPr>
        <sz val="10.5"/>
        <rFont val="Times New Roman"/>
        <family val="1"/>
      </rPr>
      <t>RENS25315-AS</t>
    </r>
    <r>
      <rPr>
        <sz val="10.5"/>
        <rFont val="宋体"/>
        <family val="3"/>
        <charset val="134"/>
      </rPr>
      <t>、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和内标</t>
    </r>
    <r>
      <rPr>
        <sz val="10.5"/>
        <rFont val="Times New Roman"/>
        <family val="1"/>
      </rPr>
      <t>ISNS25315</t>
    </r>
    <r>
      <rPr>
        <sz val="10.5"/>
        <rFont val="宋体"/>
        <family val="3"/>
        <charset val="134"/>
      </rPr>
      <t>的干扰符合接受标准</t>
    </r>
    <phoneticPr fontId="3" type="noConversion"/>
  </si>
  <si>
    <r>
      <t>RENS25315-AS/RENS25315-SS</t>
    </r>
    <r>
      <rPr>
        <sz val="10.5"/>
        <rFont val="宋体"/>
        <family val="1"/>
        <charset val="134"/>
      </rPr>
      <t>：</t>
    </r>
    <r>
      <rPr>
        <sz val="10.5"/>
        <rFont val="Times New Roman"/>
        <family val="1"/>
      </rPr>
      <t>-70~-90 °C</t>
    </r>
    <r>
      <rPr>
        <sz val="10.5"/>
        <rFont val="宋体"/>
        <family val="3"/>
        <charset val="134"/>
      </rPr>
      <t>下放置可稳定至少</t>
    </r>
    <r>
      <rPr>
        <sz val="10.5"/>
        <rFont val="Times New Roman"/>
        <family val="1"/>
      </rPr>
      <t>71</t>
    </r>
    <r>
      <rPr>
        <sz val="10.5"/>
        <rFont val="宋体"/>
        <family val="3"/>
        <charset val="134"/>
      </rPr>
      <t xml:space="preserve">天；
</t>
    </r>
    <r>
      <rPr>
        <sz val="10.5"/>
        <rFont val="Times New Roman"/>
        <family val="1"/>
      </rPr>
      <t>ISNS25315</t>
    </r>
    <r>
      <rPr>
        <sz val="10.5"/>
        <rFont val="宋体"/>
        <family val="1"/>
        <charset val="134"/>
      </rPr>
      <t>：</t>
    </r>
    <r>
      <rPr>
        <sz val="10.5"/>
        <rFont val="Times New Roman"/>
        <family val="1"/>
      </rPr>
      <t>-70~-90 °C</t>
    </r>
    <r>
      <rPr>
        <sz val="10.5"/>
        <rFont val="宋体"/>
        <family val="1"/>
        <charset val="134"/>
      </rPr>
      <t>下放置可稳定至少</t>
    </r>
    <r>
      <rPr>
        <sz val="10.5"/>
        <rFont val="Times New Roman"/>
        <family val="1"/>
      </rPr>
      <t>71</t>
    </r>
    <r>
      <rPr>
        <sz val="10.5"/>
        <rFont val="宋体"/>
        <family val="1"/>
        <charset val="134"/>
      </rPr>
      <t>天；</t>
    </r>
    <phoneticPr fontId="3" type="noConversion"/>
  </si>
  <si>
    <r>
      <t>2%</t>
    </r>
    <r>
      <rPr>
        <sz val="10.5"/>
        <rFont val="宋体"/>
        <family val="3"/>
        <charset val="134"/>
      </rPr>
      <t>溶血符合接受标准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</si>
  <si>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4.630 ~ 4629.805 ng/mL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5.370 ~ 5370.168 ng/mL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</si>
  <si>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4.630 ng/mL</t>
    </r>
    <r>
      <rPr>
        <sz val="10.5"/>
        <rFont val="宋体"/>
        <family val="3"/>
        <charset val="134"/>
      </rPr>
      <t>；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5.370 ng/mL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</si>
  <si>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13.889 ng/mL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138.894 ng/mL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1388.942 ng/mL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3472.354 ng/mL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16.111 ng/mL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161.105 ng/mL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1611.050 ng/mL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4027.626 ng/mL</t>
    </r>
    <phoneticPr fontId="3" type="noConversion"/>
  </si>
  <si>
    <r>
      <rPr>
        <sz val="10.5"/>
        <rFont val="宋体"/>
        <family val="3"/>
        <charset val="134"/>
      </rPr>
      <t>内标残留≤</t>
    </r>
    <r>
      <rPr>
        <sz val="10.5"/>
        <rFont val="Times New Roman"/>
        <family val="1"/>
      </rPr>
      <t xml:space="preserve"> 0.0%</t>
    </r>
    <phoneticPr fontId="3" type="noConversion"/>
  </si>
  <si>
    <r>
      <rPr>
        <sz val="10.5"/>
        <rFont val="宋体"/>
        <family val="3"/>
        <charset val="134"/>
      </rPr>
      <t>以</t>
    </r>
    <r>
      <rPr>
        <sz val="10.5"/>
        <rFont val="Times New Roman"/>
        <family val="1"/>
      </rPr>
      <t>RENS25315-AS</t>
    </r>
    <r>
      <rPr>
        <sz val="10.5"/>
        <rFont val="宋体"/>
        <family val="3"/>
        <charset val="134"/>
      </rPr>
      <t>计，</t>
    </r>
    <r>
      <rPr>
        <sz val="10.5"/>
        <rFont val="Times New Roman"/>
        <family val="1"/>
      </rPr>
      <t>ISNS25315</t>
    </r>
    <r>
      <rPr>
        <sz val="10.5"/>
        <rFont val="宋体"/>
        <family val="3"/>
        <charset val="134"/>
      </rPr>
      <t>平均回收率为</t>
    </r>
    <r>
      <rPr>
        <sz val="10.5"/>
        <rFont val="Times New Roman"/>
        <family val="1"/>
      </rPr>
      <t>92.6%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 xml:space="preserve">1.9% 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</si>
  <si>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-4.6 ~ 2.5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-7.0 ~ 0.4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</si>
  <si>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7.4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12.2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</si>
  <si>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6.3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19.9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</si>
  <si>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5.6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7.7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</si>
  <si>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5.5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11.9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</si>
  <si>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-4.5 ~ -2.0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-9.8 ~ -4.2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</si>
  <si>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-3.3 ~ 1.2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-5.3 ~ -0.9</t>
    </r>
    <phoneticPr fontId="3" type="noConversion"/>
  </si>
  <si>
    <t>RENS25315-SS</t>
    <phoneticPr fontId="3" type="noConversion"/>
  </si>
  <si>
    <r>
      <rPr>
        <sz val="10.5"/>
        <rFont val="宋体"/>
        <family val="3"/>
        <charset val="134"/>
      </rPr>
      <t>储存条件：</t>
    </r>
    <r>
      <rPr>
        <sz val="10.5"/>
        <rFont val="Times New Roman"/>
        <family val="1"/>
      </rPr>
      <t>-70~-90 °C</t>
    </r>
    <r>
      <rPr>
        <sz val="10.5"/>
        <rFont val="宋体"/>
        <family val="3"/>
        <charset val="134"/>
      </rPr>
      <t>下</t>
    </r>
    <r>
      <rPr>
        <sz val="10.5"/>
        <rFont val="Times New Roman"/>
        <family val="1"/>
      </rPr>
      <t>71</t>
    </r>
    <r>
      <rPr>
        <sz val="10.5"/>
        <rFont val="宋体"/>
        <family val="3"/>
        <charset val="134"/>
      </rPr>
      <t>天</t>
    </r>
    <phoneticPr fontId="3" type="noConversion"/>
  </si>
  <si>
    <r>
      <rPr>
        <sz val="10.5"/>
        <rFont val="宋体"/>
        <family val="3"/>
        <charset val="134"/>
      </rPr>
      <t>储存条件：</t>
    </r>
    <r>
      <rPr>
        <sz val="10.5"/>
        <rFont val="Times New Roman"/>
        <family val="1"/>
      </rPr>
      <t>-70~-90 °C</t>
    </r>
    <r>
      <rPr>
        <sz val="10.5"/>
        <rFont val="宋体"/>
        <family val="3"/>
        <charset val="134"/>
      </rPr>
      <t>下71天</t>
    </r>
    <phoneticPr fontId="3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</si>
  <si>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 xml:space="preserve">17 </t>
    </r>
    <r>
      <rPr>
        <sz val="10.5"/>
        <rFont val="宋体"/>
        <family val="3"/>
        <charset val="134"/>
      </rPr>
      <t>：工作液长期稳定性（</t>
    </r>
    <r>
      <rPr>
        <sz val="10.5"/>
        <rFont val="Times New Roman"/>
        <family val="1"/>
      </rPr>
      <t xml:space="preserve"> LLOQ</t>
    </r>
    <r>
      <rPr>
        <sz val="10.5"/>
        <rFont val="宋体"/>
        <family val="3"/>
        <charset val="134"/>
      </rPr>
      <t>和内标工作液稳定性）</t>
    </r>
    <phoneticPr fontId="3" type="noConversion"/>
  </si>
  <si>
    <t>纯度</t>
    <phoneticPr fontId="14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</si>
  <si>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-2.9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-7.0</t>
    </r>
    <phoneticPr fontId="3" type="noConversion"/>
  </si>
  <si>
    <r>
      <rPr>
        <sz val="10.5"/>
        <rFont val="宋体"/>
        <family val="3"/>
        <charset val="134"/>
      </rPr>
      <t>电喷雾离子化负离子模式</t>
    </r>
    <phoneticPr fontId="3" type="noConversion"/>
  </si>
  <si>
    <r>
      <rPr>
        <sz val="10.5"/>
        <rFont val="宋体"/>
        <family val="3"/>
        <charset val="134"/>
      </rPr>
      <t>型号：</t>
    </r>
    <r>
      <rPr>
        <sz val="10.5"/>
        <rFont val="Times New Roman"/>
        <family val="1"/>
      </rPr>
      <t>Thermo Scientific DNA Pac</t>
    </r>
    <r>
      <rPr>
        <vertAlign val="superscript"/>
        <sz val="10.5"/>
        <rFont val="Times New Roman"/>
        <family val="1"/>
      </rPr>
      <t xml:space="preserve">TM </t>
    </r>
    <r>
      <rPr>
        <sz val="10.5"/>
        <rFont val="Times New Roman"/>
        <family val="1"/>
      </rPr>
      <t>RP(2.1×50 mm, 4 μm)</t>
    </r>
    <phoneticPr fontId="3" type="noConversion"/>
  </si>
  <si>
    <r>
      <rPr>
        <sz val="10.5"/>
        <rFont val="宋体"/>
        <family val="3"/>
        <charset val="134"/>
      </rPr>
      <t>流动相</t>
    </r>
    <r>
      <rPr>
        <sz val="10.5"/>
        <rFont val="Times New Roman"/>
        <family val="1"/>
      </rPr>
      <t>A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H</t>
    </r>
    <r>
      <rPr>
        <vertAlign val="subscript"/>
        <sz val="10.5"/>
        <rFont val="Times New Roman"/>
        <family val="1"/>
      </rPr>
      <t>2</t>
    </r>
    <r>
      <rPr>
        <sz val="10.5"/>
        <rFont val="Times New Roman"/>
        <family val="1"/>
      </rPr>
      <t>O:MeOH = 95:5</t>
    </r>
    <r>
      <rPr>
        <sz val="10.5"/>
        <rFont val="宋体"/>
        <family val="1"/>
        <charset val="134"/>
      </rPr>
      <t>，</t>
    </r>
    <r>
      <rPr>
        <sz val="10.5"/>
        <rFont val="Times New Roman"/>
        <family val="1"/>
      </rPr>
      <t>v/v</t>
    </r>
    <r>
      <rPr>
        <sz val="10.5"/>
        <rFont val="宋体"/>
        <family val="1"/>
        <charset val="134"/>
      </rPr>
      <t>，含</t>
    </r>
    <r>
      <rPr>
        <sz val="10.5"/>
        <rFont val="Times New Roman"/>
        <family val="1"/>
      </rPr>
      <t>0.4% DIEA</t>
    </r>
    <r>
      <rPr>
        <sz val="10.5"/>
        <rFont val="宋体"/>
        <family val="1"/>
        <charset val="134"/>
      </rPr>
      <t>，</t>
    </r>
    <r>
      <rPr>
        <sz val="10.5"/>
        <rFont val="Times New Roman"/>
        <family val="1"/>
      </rPr>
      <t>1% HFIP</t>
    </r>
    <r>
      <rPr>
        <sz val="10.5"/>
        <rFont val="宋体"/>
        <family val="1"/>
        <charset val="134"/>
      </rPr>
      <t>和</t>
    </r>
    <r>
      <rPr>
        <sz val="10.5"/>
        <rFont val="Times New Roman"/>
        <family val="1"/>
      </rPr>
      <t>15 μM EDTA</t>
    </r>
    <phoneticPr fontId="3" type="noConversion"/>
  </si>
  <si>
    <r>
      <rPr>
        <sz val="10.5"/>
        <rFont val="宋体"/>
        <family val="1"/>
        <charset val="134"/>
      </rPr>
      <t>液液萃取</t>
    </r>
    <phoneticPr fontId="3" type="noConversion"/>
  </si>
  <si>
    <r>
      <t>RENS25315-AS</t>
    </r>
    <r>
      <rPr>
        <sz val="11"/>
        <rFont val="DengXian"/>
      </rPr>
      <t>：待测物保留时间</t>
    </r>
    <r>
      <rPr>
        <sz val="11"/>
        <rFont val="Times New Roman"/>
        <family val="1"/>
      </rPr>
      <t>CV</t>
    </r>
    <r>
      <rPr>
        <sz val="11"/>
        <rFont val="DengXian"/>
      </rPr>
      <t>≤</t>
    </r>
    <r>
      <rPr>
        <sz val="11"/>
        <rFont val="Times New Roman"/>
        <family val="1"/>
      </rPr>
      <t xml:space="preserve"> 1.3%</t>
    </r>
    <r>
      <rPr>
        <sz val="11"/>
        <rFont val="DengXian"/>
      </rPr>
      <t>；内标保留时间</t>
    </r>
    <r>
      <rPr>
        <sz val="11"/>
        <rFont val="Times New Roman"/>
        <family val="1"/>
      </rPr>
      <t>CV</t>
    </r>
    <r>
      <rPr>
        <sz val="11"/>
        <rFont val="DengXian"/>
      </rPr>
      <t>≤</t>
    </r>
    <r>
      <rPr>
        <sz val="11"/>
        <rFont val="Times New Roman"/>
        <family val="1"/>
      </rPr>
      <t xml:space="preserve"> 1.3%</t>
    </r>
    <r>
      <rPr>
        <sz val="11"/>
        <rFont val="DengXian"/>
      </rPr>
      <t>；面积比</t>
    </r>
    <r>
      <rPr>
        <sz val="11"/>
        <rFont val="Times New Roman"/>
        <family val="1"/>
      </rPr>
      <t>CV</t>
    </r>
    <r>
      <rPr>
        <sz val="11"/>
        <rFont val="DengXian"/>
      </rPr>
      <t>≤</t>
    </r>
    <r>
      <rPr>
        <sz val="11"/>
        <rFont val="Times New Roman"/>
        <family val="1"/>
      </rPr>
      <t xml:space="preserve"> 8.2%</t>
    </r>
    <r>
      <rPr>
        <sz val="11"/>
        <rFont val="DengXian"/>
      </rPr>
      <t xml:space="preserve">；
</t>
    </r>
    <r>
      <rPr>
        <sz val="11"/>
        <rFont val="Times New Roman"/>
        <family val="1"/>
      </rPr>
      <t>RENS25315-SS</t>
    </r>
    <r>
      <rPr>
        <sz val="11"/>
        <rFont val="DengXian"/>
      </rPr>
      <t>：待测物保留时间</t>
    </r>
    <r>
      <rPr>
        <sz val="11"/>
        <rFont val="Times New Roman"/>
        <family val="1"/>
      </rPr>
      <t>CV</t>
    </r>
    <r>
      <rPr>
        <sz val="11"/>
        <rFont val="DengXian"/>
      </rPr>
      <t>≤</t>
    </r>
    <r>
      <rPr>
        <sz val="11"/>
        <rFont val="Times New Roman"/>
        <family val="1"/>
      </rPr>
      <t xml:space="preserve"> 0.2%</t>
    </r>
    <r>
      <rPr>
        <sz val="11"/>
        <rFont val="DengXian"/>
      </rPr>
      <t>；内标保留时间</t>
    </r>
    <r>
      <rPr>
        <sz val="11"/>
        <rFont val="Times New Roman"/>
        <family val="1"/>
      </rPr>
      <t>CV</t>
    </r>
    <r>
      <rPr>
        <sz val="11"/>
        <rFont val="DengXian"/>
      </rPr>
      <t>≤</t>
    </r>
    <r>
      <rPr>
        <sz val="11"/>
        <rFont val="Times New Roman"/>
        <family val="1"/>
      </rPr>
      <t xml:space="preserve"> 1.3%</t>
    </r>
    <r>
      <rPr>
        <sz val="11"/>
        <rFont val="DengXian"/>
      </rPr>
      <t>；面积比</t>
    </r>
    <r>
      <rPr>
        <sz val="11"/>
        <rFont val="Times New Roman"/>
        <family val="1"/>
      </rPr>
      <t>CV</t>
    </r>
    <r>
      <rPr>
        <sz val="11"/>
        <rFont val="DengXian"/>
      </rPr>
      <t>≤</t>
    </r>
    <r>
      <rPr>
        <sz val="11"/>
        <rFont val="Times New Roman"/>
        <family val="1"/>
      </rPr>
      <t xml:space="preserve"> 10.2%</t>
    </r>
    <phoneticPr fontId="3" type="noConversion"/>
  </si>
  <si>
    <r>
      <t>RENS25315-AS</t>
    </r>
    <r>
      <rPr>
        <sz val="10.5"/>
        <rFont val="DengXian"/>
      </rPr>
      <t>：待测物残留≤</t>
    </r>
    <r>
      <rPr>
        <sz val="10.5"/>
        <rFont val="Times New Roman"/>
        <family val="1"/>
      </rPr>
      <t xml:space="preserve"> 0.0%</t>
    </r>
    <r>
      <rPr>
        <sz val="10.5"/>
        <rFont val="DengXian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DengXian"/>
      </rPr>
      <t>：待测物残留≤</t>
    </r>
    <r>
      <rPr>
        <sz val="10.5"/>
        <rFont val="Times New Roman"/>
        <family val="1"/>
      </rPr>
      <t xml:space="preserve"> 13.0%</t>
    </r>
    <phoneticPr fontId="3" type="noConversion"/>
  </si>
  <si>
    <r>
      <rPr>
        <sz val="10.5"/>
        <rFont val="宋体"/>
        <family val="3"/>
        <charset val="134"/>
      </rPr>
      <t>待测物与内标间干扰符合接受标准</t>
    </r>
    <phoneticPr fontId="3" type="noConversion"/>
  </si>
  <si>
    <r>
      <t>RENS25315-AS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>13.889 ng/mL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92.3%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3.3%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RENS25315-AS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>1388.942 ng/mL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86.4%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3.7%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RENS25315-AS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>3472.354  ng/mL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87.5%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2.2%</t>
    </r>
    <r>
      <rPr>
        <sz val="10.5"/>
        <rFont val="宋体"/>
        <family val="3"/>
        <charset val="134"/>
      </rPr>
      <t>；总体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3.5%</t>
    </r>
    <r>
      <rPr>
        <sz val="10.5"/>
        <rFont val="宋体"/>
        <family val="3"/>
        <charset val="134"/>
      </rPr>
      <t xml:space="preserve">。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>16.111  ng/mL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87.1%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2.0%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>1611.050 ng/mL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88.1%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1.6%</t>
    </r>
    <r>
      <rPr>
        <sz val="10.5"/>
        <rFont val="宋体"/>
        <family val="3"/>
        <charset val="134"/>
      </rPr>
      <t xml:space="preserve">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浓度为</t>
    </r>
    <r>
      <rPr>
        <sz val="10.5"/>
        <rFont val="Times New Roman"/>
        <family val="1"/>
      </rPr>
      <t>4027.626  ng/mL</t>
    </r>
    <r>
      <rPr>
        <sz val="10.5"/>
        <rFont val="宋体"/>
        <family val="3"/>
        <charset val="134"/>
      </rPr>
      <t>时，平均回收率为</t>
    </r>
    <r>
      <rPr>
        <sz val="10.5"/>
        <rFont val="Times New Roman"/>
        <family val="1"/>
      </rPr>
      <t>87.7%</t>
    </r>
    <r>
      <rPr>
        <sz val="10.5"/>
        <rFont val="宋体"/>
        <family val="3"/>
        <charset val="134"/>
      </rPr>
      <t>，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2.3%</t>
    </r>
    <r>
      <rPr>
        <sz val="10.5"/>
        <rFont val="宋体"/>
        <family val="3"/>
        <charset val="134"/>
      </rPr>
      <t>；总体</t>
    </r>
    <r>
      <rPr>
        <sz val="10.5"/>
        <rFont val="Times New Roman"/>
        <family val="1"/>
      </rPr>
      <t>CV</t>
    </r>
    <r>
      <rPr>
        <sz val="10.5"/>
        <rFont val="宋体"/>
        <family val="3"/>
        <charset val="134"/>
      </rPr>
      <t>为</t>
    </r>
    <r>
      <rPr>
        <sz val="10.5"/>
        <rFont val="Times New Roman"/>
        <family val="1"/>
      </rPr>
      <t>0.6%</t>
    </r>
    <r>
      <rPr>
        <sz val="10.5"/>
        <rFont val="宋体"/>
        <family val="3"/>
        <charset val="134"/>
      </rPr>
      <t>。</t>
    </r>
    <phoneticPr fontId="3" type="noConversion"/>
  </si>
  <si>
    <r>
      <t>RENS25315-AS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1"/>
      </rPr>
      <t>23149.027 ng/mL</t>
    </r>
    <r>
      <rPr>
        <sz val="10.5"/>
        <rFont val="宋体"/>
        <family val="3"/>
        <charset val="134"/>
      </rPr>
      <t>稀释</t>
    </r>
    <r>
      <rPr>
        <sz val="10.5"/>
        <rFont val="Times New Roman"/>
        <family val="1"/>
      </rPr>
      <t>20</t>
    </r>
    <r>
      <rPr>
        <sz val="10.5"/>
        <rFont val="宋体"/>
        <family val="3"/>
        <charset val="134"/>
      </rPr>
      <t xml:space="preserve">倍；
</t>
    </r>
    <r>
      <rPr>
        <sz val="10.5"/>
        <rFont val="Times New Roman"/>
        <family val="1"/>
      </rPr>
      <t>RENS25315-SS</t>
    </r>
    <r>
      <rPr>
        <sz val="10.5"/>
        <rFont val="DengXian"/>
        <family val="3"/>
        <charset val="134"/>
      </rPr>
      <t>：</t>
    </r>
    <r>
      <rPr>
        <sz val="10.5"/>
        <rFont val="Times New Roman"/>
        <family val="1"/>
      </rPr>
      <t>26850.840 ng/mL</t>
    </r>
    <r>
      <rPr>
        <sz val="10.5"/>
        <rFont val="DengXian"/>
        <family val="3"/>
        <charset val="134"/>
      </rPr>
      <t>稀释</t>
    </r>
    <r>
      <rPr>
        <sz val="10.5"/>
        <rFont val="Times New Roman"/>
        <family val="1"/>
      </rPr>
      <t>20</t>
    </r>
    <r>
      <rPr>
        <sz val="10.5"/>
        <rFont val="DengXian"/>
        <family val="3"/>
        <charset val="134"/>
      </rPr>
      <t>倍</t>
    </r>
    <phoneticPr fontId="3" type="noConversion"/>
  </si>
  <si>
    <r>
      <t>RENS25315-AS/RENS25315-SS</t>
    </r>
    <r>
      <rPr>
        <sz val="10.5"/>
        <rFont val="宋体"/>
        <family val="3"/>
        <charset val="134"/>
      </rPr>
      <t>：室温白光条件下放置可稳定至少</t>
    </r>
    <r>
      <rPr>
        <sz val="10.5"/>
        <rFont val="Times New Roman"/>
        <family val="1"/>
      </rPr>
      <t>22</t>
    </r>
    <r>
      <rPr>
        <sz val="10.5"/>
        <rFont val="宋体"/>
        <family val="3"/>
        <charset val="134"/>
      </rPr>
      <t xml:space="preserve">小时；
</t>
    </r>
    <r>
      <rPr>
        <sz val="10.5"/>
        <rFont val="Times New Roman"/>
        <family val="1"/>
      </rPr>
      <t>ISNS25315</t>
    </r>
    <r>
      <rPr>
        <sz val="10.5"/>
        <rFont val="宋体"/>
        <family val="3"/>
        <charset val="134"/>
      </rPr>
      <t>：室温白光条件下放置可稳定至少</t>
    </r>
    <r>
      <rPr>
        <sz val="10.5"/>
        <rFont val="Times New Roman"/>
        <family val="1"/>
      </rPr>
      <t>22</t>
    </r>
    <r>
      <rPr>
        <sz val="10.5"/>
        <rFont val="宋体"/>
        <family val="3"/>
        <charset val="134"/>
      </rPr>
      <t>小时；</t>
    </r>
    <phoneticPr fontId="3" type="noConversion"/>
  </si>
  <si>
    <r>
      <t>RENS25315-AS</t>
    </r>
    <r>
      <rPr>
        <sz val="10.5"/>
        <rFont val="宋体"/>
        <family val="3"/>
        <charset val="134"/>
      </rPr>
      <t>：在自动进样器（</t>
    </r>
    <r>
      <rPr>
        <sz val="10.5"/>
        <rFont val="Times New Roman"/>
        <family val="1"/>
      </rPr>
      <t>5 °C</t>
    </r>
    <r>
      <rPr>
        <sz val="10.5"/>
        <rFont val="宋体"/>
        <family val="3"/>
        <charset val="134"/>
      </rPr>
      <t>）条件下可稳定保存至少</t>
    </r>
    <r>
      <rPr>
        <sz val="10.5"/>
        <rFont val="Times New Roman"/>
        <family val="1"/>
      </rPr>
      <t>135</t>
    </r>
    <r>
      <rPr>
        <sz val="10.5"/>
        <rFont val="宋体"/>
        <family val="3"/>
        <charset val="134"/>
      </rPr>
      <t xml:space="preserve">小时；
</t>
    </r>
    <r>
      <rPr>
        <sz val="10.5"/>
        <rFont val="Times New Roman"/>
        <family val="1"/>
      </rPr>
      <t>RENS25315-SS</t>
    </r>
    <r>
      <rPr>
        <sz val="10.5"/>
        <rFont val="宋体"/>
        <family val="3"/>
        <charset val="134"/>
      </rPr>
      <t>：在自动进样器（</t>
    </r>
    <r>
      <rPr>
        <sz val="10.5"/>
        <rFont val="Times New Roman"/>
        <family val="1"/>
      </rPr>
      <t>5 °C</t>
    </r>
    <r>
      <rPr>
        <sz val="10.5"/>
        <rFont val="宋体"/>
        <family val="3"/>
        <charset val="134"/>
      </rPr>
      <t>）条件下可稳定保存至少</t>
    </r>
    <r>
      <rPr>
        <sz val="10.5"/>
        <rFont val="Times New Roman"/>
        <family val="1"/>
      </rPr>
      <t>92</t>
    </r>
    <r>
      <rPr>
        <sz val="10.5"/>
        <rFont val="宋体"/>
        <family val="3"/>
        <charset val="134"/>
      </rPr>
      <t>小时</t>
    </r>
    <phoneticPr fontId="3" type="noConversion"/>
  </si>
  <si>
    <r>
      <rPr>
        <sz val="10.5"/>
        <rFont val="宋体"/>
        <family val="3"/>
        <charset val="134"/>
      </rPr>
      <t>至少</t>
    </r>
    <r>
      <rPr>
        <sz val="10.5"/>
        <rFont val="Times New Roman"/>
        <family val="1"/>
      </rPr>
      <t>106</t>
    </r>
    <r>
      <rPr>
        <sz val="10.5"/>
        <rFont val="宋体"/>
        <family val="3"/>
        <charset val="134"/>
      </rPr>
      <t>针</t>
    </r>
    <phoneticPr fontId="3" type="noConversion"/>
  </si>
  <si>
    <r>
      <t>RENS25315-AS/RENS25315-SS</t>
    </r>
    <r>
      <rPr>
        <sz val="10.5"/>
        <rFont val="宋体"/>
        <family val="3"/>
        <charset val="134"/>
      </rPr>
      <t>：冰水浴白光下至少稳定</t>
    </r>
    <r>
      <rPr>
        <sz val="10.5"/>
        <rFont val="Times New Roman"/>
        <family val="1"/>
      </rPr>
      <t>21</t>
    </r>
    <r>
      <rPr>
        <sz val="10.5"/>
        <rFont val="宋体"/>
        <family val="3"/>
        <charset val="134"/>
      </rPr>
      <t>小时</t>
    </r>
    <phoneticPr fontId="3" type="noConversion"/>
  </si>
  <si>
    <r>
      <t>RENS25315-AS/RENS25315-SS</t>
    </r>
    <r>
      <rPr>
        <sz val="10.5"/>
        <rFont val="宋体"/>
        <family val="3"/>
        <charset val="134"/>
      </rPr>
      <t>：至少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次</t>
    </r>
    <r>
      <rPr>
        <sz val="10.5"/>
        <rFont val="Times New Roman"/>
        <family val="1"/>
      </rPr>
      <t>-70~-90 °C/</t>
    </r>
    <r>
      <rPr>
        <sz val="10.5"/>
        <rFont val="宋体"/>
        <family val="3"/>
        <charset val="134"/>
      </rPr>
      <t>冰水浴白光冷冻解冻稳定</t>
    </r>
    <phoneticPr fontId="3" type="noConversion"/>
  </si>
  <si>
    <r>
      <t>RENS25315-AS/RENS25315-SS</t>
    </r>
    <r>
      <rPr>
        <sz val="10.5"/>
        <rFont val="宋体"/>
        <family val="3"/>
        <charset val="134"/>
      </rPr>
      <t>：在</t>
    </r>
    <r>
      <rPr>
        <sz val="10.5"/>
        <rFont val="Times New Roman"/>
        <family val="1"/>
      </rPr>
      <t>-70~-90 °C</t>
    </r>
    <r>
      <rPr>
        <sz val="10.5"/>
        <rFont val="宋体"/>
        <family val="3"/>
        <charset val="134"/>
      </rPr>
      <t>下稳定至少</t>
    </r>
    <r>
      <rPr>
        <sz val="10.5"/>
        <rFont val="Times New Roman"/>
        <family val="1"/>
      </rPr>
      <t>85</t>
    </r>
    <r>
      <rPr>
        <sz val="10.5"/>
        <rFont val="宋体"/>
        <family val="3"/>
        <charset val="134"/>
      </rPr>
      <t>天</t>
    </r>
    <phoneticPr fontId="3" type="noConversion"/>
  </si>
  <si>
    <r>
      <t>RENS25315-AS/RENS25315-SS</t>
    </r>
    <r>
      <rPr>
        <sz val="10.5"/>
        <rFont val="宋体"/>
        <family val="3"/>
        <charset val="134"/>
      </rPr>
      <t>：全血样品冰水浴白光放置至少稳定</t>
    </r>
    <r>
      <rPr>
        <sz val="10.5"/>
        <rFont val="Times New Roman"/>
        <family val="1"/>
      </rPr>
      <t>1.5</t>
    </r>
    <r>
      <rPr>
        <sz val="10.5"/>
        <rFont val="宋体"/>
        <family val="3"/>
        <charset val="134"/>
      </rPr>
      <t>小时</t>
    </r>
    <phoneticPr fontId="3" type="noConversion"/>
  </si>
  <si>
    <r>
      <t>NS25315-BA-001</t>
    </r>
    <r>
      <rPr>
        <sz val="10.5"/>
        <rFont val="宋体"/>
        <family val="3"/>
        <charset val="134"/>
      </rPr>
      <t>：</t>
    </r>
    <r>
      <rPr>
        <sz val="10.5"/>
        <rFont val="Times New Roman"/>
        <family val="3"/>
      </rPr>
      <t>LC-MS/MS</t>
    </r>
    <r>
      <rPr>
        <sz val="10.5"/>
        <rFont val="宋体"/>
        <family val="1"/>
        <charset val="134"/>
      </rPr>
      <t>方法测定</t>
    </r>
    <r>
      <rPr>
        <sz val="10.5"/>
        <rFont val="Times New Roman"/>
        <family val="1"/>
      </rPr>
      <t>SD</t>
    </r>
    <r>
      <rPr>
        <sz val="10.5"/>
        <rFont val="宋体"/>
        <family val="1"/>
        <charset val="134"/>
      </rPr>
      <t>大鼠</t>
    </r>
    <r>
      <rPr>
        <sz val="10.5"/>
        <rFont val="Times New Roman"/>
        <family val="1"/>
      </rPr>
      <t>EDTA-K</t>
    </r>
    <r>
      <rPr>
        <vertAlign val="subscript"/>
        <sz val="10.5"/>
        <rFont val="Times New Roman"/>
        <family val="1"/>
      </rPr>
      <t>2</t>
    </r>
    <r>
      <rPr>
        <sz val="10.5"/>
        <rFont val="宋体"/>
        <family val="1"/>
        <charset val="134"/>
      </rPr>
      <t>血浆样品中</t>
    </r>
    <r>
      <rPr>
        <sz val="10.5"/>
        <rFont val="Times New Roman"/>
        <family val="1"/>
      </rPr>
      <t>BPR-30160639 (free form) (RENS25315)</t>
    </r>
    <r>
      <rPr>
        <sz val="10.5"/>
        <rFont val="宋体"/>
        <family val="1"/>
        <charset val="134"/>
      </rPr>
      <t>反义链和正义链的浓度</t>
    </r>
    <phoneticPr fontId="3" type="noConversion"/>
  </si>
  <si>
    <r>
      <rPr>
        <sz val="10.5"/>
        <rFont val="宋体"/>
        <family val="3"/>
        <charset val="134"/>
      </rPr>
      <t>试验条件：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条件下</t>
    </r>
    <r>
      <rPr>
        <sz val="10.5"/>
        <rFont val="Times New Roman"/>
        <family val="1"/>
      </rPr>
      <t>85</t>
    </r>
    <r>
      <rPr>
        <sz val="10.5"/>
        <rFont val="宋体"/>
        <family val="3"/>
        <charset val="134"/>
      </rPr>
      <t>天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</si>
</sst>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.0"/>
    <numFmt numFmtId="177" formatCode="0.0_ "/>
    <numFmt numFmtId="178" formatCode="0_ "/>
    <numFmt numFmtId="179" formatCode="yyyy/mm/dd"/>
    <numFmt numFmtId="180" formatCode="0;_愀"/>
    <numFmt numFmtId="181" formatCode="0.0;_愀"/>
    <numFmt numFmtId="182" formatCode="0.000_ "/>
    <numFmt numFmtId="183" formatCode="0.000000_ "/>
    <numFmt numFmtId="184" formatCode="yyyy/mm/dd\ hh:mm"/>
    <numFmt numFmtId="185" formatCode="0.00;[Red]0.00"/>
    <numFmt numFmtId="186" formatCode="\'\-0"/>
    <numFmt numFmtId="187" formatCode="0.0000_ "/>
    <numFmt numFmtId="188" formatCode="0.000000"/>
    <numFmt numFmtId="189" formatCode="0.0000000"/>
    <numFmt numFmtId="190" formatCode="0.0%"/>
  </numFmts>
  <fonts count="69">
    <font>
      <sz val="11"/>
      <color theme="1"/>
      <name val="DengXian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.5"/>
      <color rgb="FFFF0000"/>
      <name val="Times New Roman"/>
      <family val="1"/>
    </font>
    <font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9"/>
      <name val="DengXian"/>
      <family val="3"/>
      <charset val="134"/>
      <scheme val="minor"/>
    </font>
    <font>
      <sz val="10.5"/>
      <color theme="1"/>
      <name val="DengXian"/>
      <family val="2"/>
    </font>
    <font>
      <sz val="10.5"/>
      <color rgb="FF00B0F0"/>
      <name val="Times New Roman"/>
      <family val="1"/>
    </font>
    <font>
      <sz val="11"/>
      <color theme="1"/>
      <name val="DengXian"/>
      <family val="2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1"/>
      <color rgb="FF9C0006"/>
      <name val="DengXian"/>
      <family val="2"/>
      <scheme val="minor"/>
    </font>
    <font>
      <sz val="10.5"/>
      <color rgb="FF000000"/>
      <name val="Times New Roman"/>
      <family val="1"/>
    </font>
    <font>
      <sz val="10.5"/>
      <color rgb="FF000000"/>
      <name val="DengXian"/>
      <family val="2"/>
    </font>
    <font>
      <sz val="12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DengXian"/>
      <family val="2"/>
      <charset val="134"/>
      <scheme val="minor"/>
    </font>
    <font>
      <vertAlign val="subscript"/>
      <sz val="10.5"/>
      <name val="Times New Roman"/>
      <family val="1"/>
    </font>
    <font>
      <vertAlign val="superscript"/>
      <sz val="10.5"/>
      <name val="Times New Roman"/>
      <family val="1"/>
    </font>
    <font>
      <sz val="10.5"/>
      <name val="宋体"/>
      <family val="1"/>
      <charset val="134"/>
    </font>
    <font>
      <vertAlign val="superscript"/>
      <sz val="10.5"/>
      <name val="宋体"/>
      <family val="1"/>
      <charset val="134"/>
    </font>
    <font>
      <sz val="10.5"/>
      <name val="Times New Roman"/>
      <family val="1"/>
      <charset val="134"/>
    </font>
    <font>
      <sz val="10.5"/>
      <name val="Times New Roman"/>
      <family val="3"/>
    </font>
    <font>
      <sz val="11"/>
      <color theme="1"/>
      <name val="宋体"/>
      <family val="2"/>
    </font>
    <font>
      <sz val="11"/>
      <color rgb="FF9C0006"/>
      <name val="DengXian"/>
      <family val="3"/>
      <charset val="134"/>
      <scheme val="minor"/>
    </font>
    <font>
      <sz val="11"/>
      <color rgb="FF006100"/>
      <name val="DengXian"/>
      <family val="3"/>
      <charset val="134"/>
      <scheme val="minor"/>
    </font>
    <font>
      <sz val="11"/>
      <color theme="1"/>
      <name val="DengXian"/>
      <family val="3"/>
      <charset val="134"/>
      <scheme val="minor"/>
    </font>
    <font>
      <sz val="11"/>
      <name val="宋体"/>
      <family val="2"/>
    </font>
    <font>
      <sz val="12"/>
      <color theme="1"/>
      <name val="Times New Roman"/>
      <family val="1"/>
    </font>
    <font>
      <sz val="11"/>
      <name val="宋体"/>
      <family val="3"/>
      <charset val="134"/>
    </font>
    <font>
      <sz val="12"/>
      <color rgb="FF000000"/>
      <name val="Times New Roman"/>
      <family val="1"/>
    </font>
    <font>
      <i/>
      <sz val="12"/>
      <color theme="1"/>
      <name val="宋体"/>
      <family val="3"/>
      <charset val="134"/>
    </font>
    <font>
      <i/>
      <sz val="12"/>
      <color theme="1"/>
      <name val="Times New Roman"/>
      <family val="1"/>
    </font>
    <font>
      <vertAlign val="subscript"/>
      <sz val="10"/>
      <name val="Times New Roman"/>
      <family val="1"/>
    </font>
    <font>
      <sz val="11"/>
      <name val="DengXian"/>
      <family val="2"/>
      <scheme val="minor"/>
    </font>
    <font>
      <sz val="12"/>
      <name val="Times New Roman"/>
      <family val="1"/>
    </font>
    <font>
      <sz val="10.5"/>
      <name val="DengXian"/>
      <family val="3"/>
      <charset val="134"/>
    </font>
    <font>
      <sz val="11"/>
      <name val="DengXian"/>
    </font>
    <font>
      <sz val="10.5"/>
      <name val="DengXian"/>
    </font>
  </fonts>
  <fills count="3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4">
    <xf numFmtId="0" fontId="0" fillId="0" borderId="0"/>
    <xf numFmtId="0" fontId="6" fillId="2" borderId="0" applyNumberFormat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12" fillId="0" borderId="0"/>
    <xf numFmtId="0" fontId="2" fillId="0" borderId="0"/>
    <xf numFmtId="0" fontId="18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/>
    <xf numFmtId="0" fontId="18" fillId="0" borderId="0"/>
    <xf numFmtId="0" fontId="12" fillId="0" borderId="0"/>
    <xf numFmtId="0" fontId="21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2" fillId="6" borderId="0" applyNumberFormat="0" applyBorder="0" applyAlignment="0" applyProtection="0"/>
    <xf numFmtId="0" fontId="22" fillId="10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2" fillId="7" borderId="0" applyNumberFormat="0" applyBorder="0" applyAlignment="0" applyProtection="0"/>
    <xf numFmtId="0" fontId="22" fillId="11" borderId="0" applyNumberFormat="0" applyBorder="0" applyAlignment="0" applyProtection="0"/>
    <xf numFmtId="0" fontId="22" fillId="15" borderId="0" applyNumberFormat="0" applyBorder="0" applyAlignment="0" applyProtection="0"/>
    <xf numFmtId="0" fontId="22" fillId="19" borderId="0" applyNumberFormat="0" applyBorder="0" applyAlignment="0" applyProtection="0"/>
    <xf numFmtId="0" fontId="22" fillId="23" borderId="0" applyNumberFormat="0" applyBorder="0" applyAlignment="0" applyProtection="0"/>
    <xf numFmtId="0" fontId="22" fillId="27" borderId="0" applyNumberFormat="0" applyBorder="0" applyAlignment="0" applyProtection="0"/>
    <xf numFmtId="0" fontId="23" fillId="8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23" fillId="5" borderId="0" applyNumberFormat="0" applyBorder="0" applyAlignment="0" applyProtection="0"/>
    <xf numFmtId="0" fontId="23" fillId="9" borderId="0" applyNumberFormat="0" applyBorder="0" applyAlignment="0" applyProtection="0"/>
    <xf numFmtId="0" fontId="23" fillId="13" borderId="0" applyNumberFormat="0" applyBorder="0" applyAlignment="0" applyProtection="0"/>
    <xf numFmtId="0" fontId="23" fillId="17" borderId="0" applyNumberFormat="0" applyBorder="0" applyAlignment="0" applyProtection="0"/>
    <xf numFmtId="0" fontId="23" fillId="21" borderId="0" applyNumberFormat="0" applyBorder="0" applyAlignment="0" applyProtection="0"/>
    <xf numFmtId="0" fontId="23" fillId="25" borderId="0" applyNumberFormat="0" applyBorder="0" applyAlignment="0" applyProtection="0"/>
    <xf numFmtId="0" fontId="24" fillId="2" borderId="0" applyNumberFormat="0" applyBorder="0" applyAlignment="0" applyProtection="0"/>
    <xf numFmtId="0" fontId="25" fillId="31" borderId="23" applyNumberFormat="0" applyAlignment="0" applyProtection="0"/>
    <xf numFmtId="0" fontId="26" fillId="32" borderId="26" applyNumberFormat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0" borderId="20" applyNumberFormat="0" applyFill="0" applyAlignment="0" applyProtection="0"/>
    <xf numFmtId="0" fontId="30" fillId="0" borderId="21" applyNumberFormat="0" applyFill="0" applyAlignment="0" applyProtection="0"/>
    <xf numFmtId="0" fontId="31" fillId="0" borderId="22" applyNumberFormat="0" applyFill="0" applyAlignment="0" applyProtection="0"/>
    <xf numFmtId="0" fontId="31" fillId="0" borderId="0" applyNumberFormat="0" applyFill="0" applyBorder="0" applyAlignment="0" applyProtection="0"/>
    <xf numFmtId="0" fontId="32" fillId="30" borderId="23" applyNumberFormat="0" applyAlignment="0" applyProtection="0"/>
    <xf numFmtId="0" fontId="33" fillId="0" borderId="25" applyNumberFormat="0" applyFill="0" applyAlignment="0" applyProtection="0"/>
    <xf numFmtId="0" fontId="34" fillId="29" borderId="0" applyNumberFormat="0" applyBorder="0" applyAlignment="0" applyProtection="0"/>
    <xf numFmtId="0" fontId="22" fillId="33" borderId="27" applyNumberFormat="0" applyFont="0" applyAlignment="0" applyProtection="0"/>
    <xf numFmtId="0" fontId="35" fillId="31" borderId="24" applyNumberFormat="0" applyAlignment="0" applyProtection="0"/>
    <xf numFmtId="0" fontId="36" fillId="0" borderId="0" applyNumberFormat="0" applyFill="0" applyBorder="0" applyAlignment="0" applyProtection="0"/>
    <xf numFmtId="0" fontId="37" fillId="0" borderId="28" applyNumberFormat="0" applyFill="0" applyAlignment="0" applyProtection="0"/>
    <xf numFmtId="0" fontId="38" fillId="0" borderId="0" applyNumberFormat="0" applyFill="0" applyBorder="0" applyAlignment="0" applyProtection="0"/>
    <xf numFmtId="0" fontId="40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4" borderId="0" applyNumberFormat="0" applyBorder="0" applyAlignment="0" applyProtection="0">
      <alignment vertical="center"/>
    </xf>
    <xf numFmtId="0" fontId="20" fillId="2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7" borderId="0" applyNumberFormat="0" applyBorder="0" applyAlignment="0" applyProtection="0"/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9" fillId="8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5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21" fillId="4" borderId="0" applyNumberFormat="0" applyBorder="0" applyAlignment="0" applyProtection="0"/>
    <xf numFmtId="0" fontId="18" fillId="33" borderId="27" applyNumberFormat="0" applyFont="0" applyAlignment="0" applyProtection="0"/>
    <xf numFmtId="9" fontId="12" fillId="0" borderId="0" applyFont="0" applyFill="0" applyBorder="0" applyAlignment="0" applyProtection="0"/>
    <xf numFmtId="0" fontId="54" fillId="2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2" fillId="0" borderId="0"/>
    <xf numFmtId="0" fontId="46" fillId="0" borderId="0">
      <alignment vertical="center"/>
    </xf>
    <xf numFmtId="0" fontId="56" fillId="0" borderId="0"/>
    <xf numFmtId="0" fontId="46" fillId="0" borderId="0">
      <alignment vertical="center"/>
    </xf>
    <xf numFmtId="0" fontId="2" fillId="0" borderId="0"/>
  </cellStyleXfs>
  <cellXfs count="183"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8" fillId="0" borderId="0" xfId="0" applyFont="1"/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justify"/>
    </xf>
    <xf numFmtId="0" fontId="13" fillId="0" borderId="0" xfId="0" applyFont="1"/>
    <xf numFmtId="0" fontId="1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26" applyFont="1" applyBorder="1" applyAlignment="1">
      <alignment horizontal="justify" vertical="center" wrapText="1"/>
    </xf>
    <xf numFmtId="0" fontId="15" fillId="0" borderId="0" xfId="0" applyFont="1" applyAlignment="1">
      <alignment vertical="center"/>
    </xf>
    <xf numFmtId="0" fontId="43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82" fontId="8" fillId="0" borderId="0" xfId="0" applyNumberFormat="1" applyFont="1" applyAlignment="1">
      <alignment horizontal="center" vertical="center"/>
    </xf>
    <xf numFmtId="177" fontId="13" fillId="0" borderId="0" xfId="0" applyNumberFormat="1" applyFont="1"/>
    <xf numFmtId="177" fontId="8" fillId="0" borderId="0" xfId="0" applyNumberFormat="1" applyFont="1"/>
    <xf numFmtId="177" fontId="8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 wrapText="1"/>
    </xf>
    <xf numFmtId="179" fontId="11" fillId="0" borderId="0" xfId="0" applyNumberFormat="1" applyFont="1" applyAlignment="1">
      <alignment horizontal="center" vertical="center" wrapText="1"/>
    </xf>
    <xf numFmtId="179" fontId="8" fillId="0" borderId="0" xfId="0" applyNumberFormat="1" applyFont="1" applyAlignment="1">
      <alignment horizontal="center" vertical="center"/>
    </xf>
    <xf numFmtId="183" fontId="11" fillId="0" borderId="1" xfId="2" applyNumberFormat="1" applyFont="1" applyBorder="1" applyAlignment="1">
      <alignment horizontal="center" vertical="center" wrapText="1"/>
    </xf>
    <xf numFmtId="177" fontId="11" fillId="0" borderId="1" xfId="2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9" fillId="0" borderId="5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81" fontId="11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79" fontId="11" fillId="0" borderId="1" xfId="0" applyNumberFormat="1" applyFont="1" applyBorder="1" applyAlignment="1">
      <alignment horizontal="center" vertical="center"/>
    </xf>
    <xf numFmtId="188" fontId="11" fillId="0" borderId="1" xfId="0" applyNumberFormat="1" applyFont="1" applyBorder="1" applyAlignment="1">
      <alignment horizontal="center" vertical="center"/>
    </xf>
    <xf numFmtId="187" fontId="11" fillId="0" borderId="1" xfId="0" applyNumberFormat="1" applyFont="1" applyBorder="1" applyAlignment="1">
      <alignment horizontal="center" vertical="center"/>
    </xf>
    <xf numFmtId="182" fontId="11" fillId="0" borderId="1" xfId="0" applyNumberFormat="1" applyFont="1" applyBorder="1" applyAlignment="1">
      <alignment horizontal="center" vertical="center"/>
    </xf>
    <xf numFmtId="189" fontId="11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189" fontId="11" fillId="0" borderId="5" xfId="0" applyNumberFormat="1" applyFont="1" applyBorder="1" applyAlignment="1">
      <alignment horizontal="center" vertical="center"/>
    </xf>
    <xf numFmtId="188" fontId="11" fillId="0" borderId="5" xfId="0" applyNumberFormat="1" applyFont="1" applyBorder="1" applyAlignment="1">
      <alignment horizontal="center" vertical="center"/>
    </xf>
    <xf numFmtId="187" fontId="11" fillId="0" borderId="5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0" fontId="39" fillId="0" borderId="0" xfId="0" applyFont="1"/>
    <xf numFmtId="0" fontId="13" fillId="0" borderId="0" xfId="0" applyFont="1" applyAlignment="1">
      <alignment horizontal="left" vertical="center"/>
    </xf>
    <xf numFmtId="182" fontId="11" fillId="0" borderId="1" xfId="0" applyNumberFormat="1" applyFont="1" applyBorder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  <protection locked="0"/>
    </xf>
    <xf numFmtId="1" fontId="0" fillId="0" borderId="0" xfId="0" applyNumberFormat="1"/>
    <xf numFmtId="182" fontId="11" fillId="0" borderId="2" xfId="0" applyNumberFormat="1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179" fontId="8" fillId="0" borderId="0" xfId="0" applyNumberFormat="1" applyFont="1"/>
    <xf numFmtId="179" fontId="11" fillId="0" borderId="0" xfId="0" applyNumberFormat="1" applyFont="1" applyAlignment="1">
      <alignment horizontal="left" vertical="center"/>
    </xf>
    <xf numFmtId="177" fontId="11" fillId="0" borderId="0" xfId="0" applyNumberFormat="1" applyFont="1" applyAlignment="1">
      <alignment horizontal="left" vertical="center"/>
    </xf>
    <xf numFmtId="179" fontId="13" fillId="0" borderId="0" xfId="0" applyNumberFormat="1" applyFont="1"/>
    <xf numFmtId="182" fontId="11" fillId="0" borderId="1" xfId="0" applyNumberFormat="1" applyFont="1" applyBorder="1" applyAlignment="1" applyProtection="1">
      <alignment horizontal="center" vertical="center" wrapText="1"/>
      <protection locked="0"/>
    </xf>
    <xf numFmtId="183" fontId="11" fillId="0" borderId="1" xfId="0" applyNumberFormat="1" applyFont="1" applyBorder="1" applyAlignment="1">
      <alignment horizontal="center" vertical="center" wrapText="1"/>
    </xf>
    <xf numFmtId="0" fontId="64" fillId="0" borderId="0" xfId="0" applyFont="1"/>
    <xf numFmtId="1" fontId="64" fillId="0" borderId="0" xfId="0" applyNumberFormat="1" applyFont="1"/>
    <xf numFmtId="183" fontId="11" fillId="0" borderId="19" xfId="0" applyNumberFormat="1" applyFont="1" applyBorder="1" applyAlignment="1">
      <alignment horizontal="center" vertical="center"/>
    </xf>
    <xf numFmtId="183" fontId="11" fillId="0" borderId="17" xfId="0" applyNumberFormat="1" applyFont="1" applyBorder="1" applyAlignment="1">
      <alignment horizontal="center" vertical="center"/>
    </xf>
    <xf numFmtId="183" fontId="11" fillId="0" borderId="18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179" fontId="5" fillId="0" borderId="1" xfId="0" applyNumberFormat="1" applyFont="1" applyBorder="1" applyAlignment="1">
      <alignment horizontal="justify" vertical="center" wrapText="1"/>
    </xf>
    <xf numFmtId="0" fontId="65" fillId="0" borderId="0" xfId="0" applyFont="1"/>
    <xf numFmtId="0" fontId="11" fillId="0" borderId="1" xfId="0" quotePrefix="1" applyFont="1" applyBorder="1" applyAlignment="1">
      <alignment horizontal="left" vertical="center" wrapText="1"/>
    </xf>
    <xf numFmtId="0" fontId="58" fillId="0" borderId="1" xfId="0" applyFont="1" applyBorder="1" applyAlignment="1">
      <alignment horizontal="justify" vertical="center" wrapText="1"/>
    </xf>
    <xf numFmtId="179" fontId="58" fillId="0" borderId="1" xfId="0" applyNumberFormat="1" applyFont="1" applyBorder="1" applyAlignment="1">
      <alignment horizontal="justify" vertical="center" wrapText="1"/>
    </xf>
    <xf numFmtId="0" fontId="43" fillId="0" borderId="1" xfId="0" applyFont="1" applyBorder="1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43" fillId="0" borderId="1" xfId="0" applyFont="1" applyBorder="1" applyAlignment="1">
      <alignment horizontal="justify" vertical="center" wrapText="1"/>
    </xf>
    <xf numFmtId="0" fontId="11" fillId="0" borderId="0" xfId="0" applyFont="1" applyAlignment="1">
      <alignment horizontal="left" vertical="center" wrapText="1"/>
    </xf>
    <xf numFmtId="14" fontId="11" fillId="0" borderId="0" xfId="0" applyNumberFormat="1" applyFont="1" applyAlignment="1">
      <alignment horizontal="left" vertical="center" wrapText="1"/>
    </xf>
    <xf numFmtId="182" fontId="13" fillId="0" borderId="1" xfId="0" applyNumberFormat="1" applyFont="1" applyBorder="1" applyAlignment="1">
      <alignment horizontal="center" vertical="center" wrapText="1"/>
    </xf>
    <xf numFmtId="182" fontId="11" fillId="0" borderId="0" xfId="0" applyNumberFormat="1" applyFont="1" applyAlignment="1">
      <alignment horizontal="left" vertical="center"/>
    </xf>
    <xf numFmtId="182" fontId="11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84" fontId="11" fillId="0" borderId="0" xfId="0" applyNumberFormat="1" applyFont="1" applyAlignment="1">
      <alignment horizontal="left" vertical="center"/>
    </xf>
    <xf numFmtId="185" fontId="11" fillId="0" borderId="0" xfId="0" applyNumberFormat="1" applyFont="1" applyAlignment="1">
      <alignment horizontal="left" vertical="center"/>
    </xf>
    <xf numFmtId="0" fontId="64" fillId="0" borderId="0" xfId="0" applyFont="1" applyAlignment="1">
      <alignment horizontal="right"/>
    </xf>
    <xf numFmtId="179" fontId="11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/>
    </xf>
    <xf numFmtId="0" fontId="4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53" fillId="0" borderId="1" xfId="0" applyFont="1" applyBorder="1" applyAlignment="1">
      <alignment horizontal="left" vertical="center"/>
    </xf>
    <xf numFmtId="10" fontId="9" fillId="0" borderId="1" xfId="0" applyNumberFormat="1" applyFont="1" applyBorder="1" applyAlignment="1">
      <alignment horizontal="left" vertical="center"/>
    </xf>
    <xf numFmtId="190" fontId="58" fillId="0" borderId="1" xfId="0" applyNumberFormat="1" applyFont="1" applyBorder="1" applyAlignment="1">
      <alignment horizontal="justify" vertical="center" wrapText="1"/>
    </xf>
    <xf numFmtId="0" fontId="9" fillId="0" borderId="1" xfId="0" applyFont="1" applyBorder="1"/>
    <xf numFmtId="0" fontId="53" fillId="0" borderId="1" xfId="0" applyFont="1" applyBorder="1"/>
    <xf numFmtId="179" fontId="11" fillId="0" borderId="0" xfId="0" applyNumberFormat="1" applyFont="1" applyAlignment="1">
      <alignment horizontal="left" vertical="center" wrapText="1"/>
    </xf>
    <xf numFmtId="14" fontId="11" fillId="0" borderId="0" xfId="0" applyNumberFormat="1" applyFont="1"/>
    <xf numFmtId="0" fontId="65" fillId="0" borderId="6" xfId="0" applyFont="1" applyBorder="1"/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11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horizontal="left" vertical="center" wrapText="1"/>
    </xf>
    <xf numFmtId="10" fontId="11" fillId="0" borderId="1" xfId="0" applyNumberFormat="1" applyFont="1" applyBorder="1" applyAlignment="1">
      <alignment horizontal="left" vertical="center" wrapText="1"/>
    </xf>
    <xf numFmtId="0" fontId="52" fillId="0" borderId="1" xfId="0" quotePrefix="1" applyFont="1" applyBorder="1" applyAlignment="1">
      <alignment horizontal="left" vertical="center" wrapText="1"/>
    </xf>
    <xf numFmtId="0" fontId="58" fillId="0" borderId="13" xfId="0" applyFont="1" applyBorder="1" applyAlignment="1">
      <alignment horizontal="left" vertical="center" wrapText="1"/>
    </xf>
    <xf numFmtId="186" fontId="43" fillId="0" borderId="15" xfId="0" applyNumberFormat="1" applyFont="1" applyBorder="1" applyAlignment="1">
      <alignment horizontal="center" vertical="center" wrapText="1"/>
    </xf>
    <xf numFmtId="186" fontId="43" fillId="0" borderId="16" xfId="0" applyNumberFormat="1" applyFont="1" applyBorder="1" applyAlignment="1">
      <alignment horizontal="center" vertical="center" wrapText="1"/>
    </xf>
    <xf numFmtId="0" fontId="43" fillId="0" borderId="19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 wrapText="1"/>
    </xf>
    <xf numFmtId="186" fontId="43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5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80" fontId="11" fillId="0" borderId="2" xfId="0" applyNumberFormat="1" applyFont="1" applyBorder="1" applyAlignment="1">
      <alignment horizontal="center" vertical="center" wrapText="1"/>
    </xf>
    <xf numFmtId="180" fontId="11" fillId="0" borderId="3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77" fontId="13" fillId="0" borderId="1" xfId="0" applyNumberFormat="1" applyFont="1" applyBorder="1" applyAlignment="1">
      <alignment horizontal="center" vertical="center" wrapText="1"/>
    </xf>
    <xf numFmtId="177" fontId="11" fillId="0" borderId="10" xfId="0" applyNumberFormat="1" applyFont="1" applyBorder="1" applyAlignment="1">
      <alignment horizontal="center" vertical="center" wrapText="1"/>
    </xf>
    <xf numFmtId="177" fontId="11" fillId="0" borderId="11" xfId="0" applyNumberFormat="1" applyFont="1" applyBorder="1" applyAlignment="1">
      <alignment horizontal="center" vertical="center" wrapText="1"/>
    </xf>
    <xf numFmtId="177" fontId="11" fillId="0" borderId="12" xfId="0" applyNumberFormat="1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>
      <alignment horizontal="left" vertical="center"/>
    </xf>
    <xf numFmtId="179" fontId="11" fillId="0" borderId="2" xfId="0" applyNumberFormat="1" applyFont="1" applyBorder="1" applyAlignment="1">
      <alignment horizontal="center" vertical="center"/>
    </xf>
    <xf numFmtId="179" fontId="11" fillId="0" borderId="3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9" fontId="1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1" fillId="0" borderId="15" xfId="0" applyFont="1" applyBorder="1" applyAlignment="1" applyProtection="1">
      <alignment horizontal="left" vertical="center" wrapText="1"/>
      <protection locked="0"/>
    </xf>
    <xf numFmtId="0" fontId="11" fillId="0" borderId="13" xfId="0" applyFont="1" applyBorder="1" applyAlignment="1" applyProtection="1">
      <alignment horizontal="left" vertical="center" wrapText="1"/>
      <protection locked="0"/>
    </xf>
    <xf numFmtId="182" fontId="11" fillId="0" borderId="13" xfId="0" applyNumberFormat="1" applyFont="1" applyBorder="1" applyAlignment="1" applyProtection="1">
      <alignment horizontal="left" vertical="center" wrapText="1"/>
      <protection locked="0"/>
    </xf>
    <xf numFmtId="182" fontId="11" fillId="0" borderId="0" xfId="0" applyNumberFormat="1" applyFont="1" applyAlignment="1" applyProtection="1">
      <alignment horizontal="left" vertical="center" wrapText="1"/>
      <protection locked="0"/>
    </xf>
    <xf numFmtId="177" fontId="11" fillId="0" borderId="5" xfId="0" applyNumberFormat="1" applyFont="1" applyBorder="1" applyAlignment="1">
      <alignment horizontal="center" vertical="center" wrapText="1"/>
    </xf>
    <xf numFmtId="0" fontId="11" fillId="0" borderId="1" xfId="0" applyFont="1" applyBorder="1" applyAlignment="1" applyProtection="1">
      <alignment horizontal="center" vertical="center" wrapText="1"/>
      <protection locked="0"/>
    </xf>
    <xf numFmtId="17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 wrapText="1"/>
    </xf>
    <xf numFmtId="0" fontId="39" fillId="0" borderId="4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177" fontId="11" fillId="0" borderId="1" xfId="0" applyNumberFormat="1" applyFont="1" applyBorder="1" applyAlignment="1">
      <alignment horizontal="center"/>
    </xf>
    <xf numFmtId="0" fontId="39" fillId="0" borderId="4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left"/>
    </xf>
  </cellXfs>
  <cellStyles count="114">
    <cellStyle name="20% - Accent1" xfId="35" xr:uid="{00000000-0005-0000-0000-000000000000}"/>
    <cellStyle name="20% - Accent1 2" xfId="80" xr:uid="{77183D02-D73D-4858-95F8-D6A490505E57}"/>
    <cellStyle name="20% - Accent2" xfId="36" xr:uid="{00000000-0005-0000-0000-000001000000}"/>
    <cellStyle name="20% - Accent2 2" xfId="81" xr:uid="{BBEB8317-AB2A-48C2-9CDB-36A4E56A79D3}"/>
    <cellStyle name="20% - Accent3" xfId="37" xr:uid="{00000000-0005-0000-0000-000002000000}"/>
    <cellStyle name="20% - Accent3 2" xfId="82" xr:uid="{D1FE4652-445F-440E-B51C-3B1B198E2366}"/>
    <cellStyle name="20% - Accent4" xfId="38" xr:uid="{00000000-0005-0000-0000-000003000000}"/>
    <cellStyle name="20% - Accent4 2" xfId="83" xr:uid="{7693B572-6558-43FA-BD2D-CEDDBEA9D7FE}"/>
    <cellStyle name="20% - Accent5" xfId="39" xr:uid="{00000000-0005-0000-0000-000004000000}"/>
    <cellStyle name="20% - Accent5 2" xfId="84" xr:uid="{8DAF58C7-0F41-477F-9638-3C9027810E6F}"/>
    <cellStyle name="20% - Accent6" xfId="40" xr:uid="{00000000-0005-0000-0000-000005000000}"/>
    <cellStyle name="20% - Accent6 2" xfId="85" xr:uid="{17178DDA-7FA5-402A-8397-A6FD4218DDC0}"/>
    <cellStyle name="20% - 强调文字颜色 1" xfId="7" xr:uid="{00000000-0005-0000-0000-000006000000}"/>
    <cellStyle name="20% - 强调文字颜色 2" xfId="8" xr:uid="{00000000-0005-0000-0000-000007000000}"/>
    <cellStyle name="20% - 强调文字颜色 3" xfId="9" xr:uid="{00000000-0005-0000-0000-000008000000}"/>
    <cellStyle name="20% - 强调文字颜色 4" xfId="10" xr:uid="{00000000-0005-0000-0000-000009000000}"/>
    <cellStyle name="20% - 强调文字颜色 5" xfId="11" xr:uid="{00000000-0005-0000-0000-00000A000000}"/>
    <cellStyle name="20% - 强调文字颜色 6" xfId="12" xr:uid="{00000000-0005-0000-0000-00000B000000}"/>
    <cellStyle name="40% - Accent1" xfId="41" xr:uid="{00000000-0005-0000-0000-00000C000000}"/>
    <cellStyle name="40% - Accent1 2" xfId="86" xr:uid="{E1CF79C5-ECB8-4EA2-802B-83325F25787F}"/>
    <cellStyle name="40% - Accent2" xfId="42" xr:uid="{00000000-0005-0000-0000-00000D000000}"/>
    <cellStyle name="40% - Accent2 2" xfId="87" xr:uid="{508B27FC-440F-4C43-BC79-06765F95CC33}"/>
    <cellStyle name="40% - Accent3" xfId="43" xr:uid="{00000000-0005-0000-0000-00000E000000}"/>
    <cellStyle name="40% - Accent3 2" xfId="88" xr:uid="{9E2A4F00-5C43-454A-9F74-61962CBB879D}"/>
    <cellStyle name="40% - Accent4" xfId="44" xr:uid="{00000000-0005-0000-0000-00000F000000}"/>
    <cellStyle name="40% - Accent4 2" xfId="89" xr:uid="{9757B9C8-1D28-4846-9E5F-21AD7A7B9414}"/>
    <cellStyle name="40% - Accent5" xfId="45" xr:uid="{00000000-0005-0000-0000-000010000000}"/>
    <cellStyle name="40% - Accent5 2" xfId="90" xr:uid="{4B2FEA64-70DD-4AF2-8151-A02C3F4F5262}"/>
    <cellStyle name="40% - Accent6" xfId="46" xr:uid="{00000000-0005-0000-0000-000011000000}"/>
    <cellStyle name="40% - Accent6 2" xfId="91" xr:uid="{BDB08573-B4C7-4964-A15A-4C845695D960}"/>
    <cellStyle name="40% - 强调文字颜色 1" xfId="13" xr:uid="{00000000-0005-0000-0000-000012000000}"/>
    <cellStyle name="40% - 强调文字颜色 2" xfId="14" xr:uid="{00000000-0005-0000-0000-000013000000}"/>
    <cellStyle name="40% - 强调文字颜色 3" xfId="15" xr:uid="{00000000-0005-0000-0000-000014000000}"/>
    <cellStyle name="40% - 强调文字颜色 4" xfId="16" xr:uid="{00000000-0005-0000-0000-000015000000}"/>
    <cellStyle name="40% - 强调文字颜色 5" xfId="17" xr:uid="{00000000-0005-0000-0000-000016000000}"/>
    <cellStyle name="40% - 强调文字颜色 6" xfId="18" xr:uid="{00000000-0005-0000-0000-000017000000}"/>
    <cellStyle name="60% - Accent1" xfId="47" xr:uid="{00000000-0005-0000-0000-000018000000}"/>
    <cellStyle name="60% - Accent1 2" xfId="92" xr:uid="{766CF0D2-4198-4F29-AFB0-168F37E54D7F}"/>
    <cellStyle name="60% - Accent2" xfId="48" xr:uid="{00000000-0005-0000-0000-000019000000}"/>
    <cellStyle name="60% - Accent2 2" xfId="93" xr:uid="{1FBC0629-14B0-4943-BDA0-862B9828EEA9}"/>
    <cellStyle name="60% - Accent3" xfId="49" xr:uid="{00000000-0005-0000-0000-00001A000000}"/>
    <cellStyle name="60% - Accent3 2" xfId="94" xr:uid="{1044931C-C839-4E80-8DD1-95268D5202BF}"/>
    <cellStyle name="60% - Accent4" xfId="50" xr:uid="{00000000-0005-0000-0000-00001B000000}"/>
    <cellStyle name="60% - Accent4 2" xfId="95" xr:uid="{B4379503-A327-4680-ABC2-F0A46CCCA793}"/>
    <cellStyle name="60% - Accent5" xfId="51" xr:uid="{00000000-0005-0000-0000-00001C000000}"/>
    <cellStyle name="60% - Accent5 2" xfId="96" xr:uid="{12301776-AAA4-4C94-BF47-1864237CD99F}"/>
    <cellStyle name="60% - Accent6" xfId="52" xr:uid="{00000000-0005-0000-0000-00001D000000}"/>
    <cellStyle name="60% - Accent6 2" xfId="97" xr:uid="{C77D035C-5923-4505-9F0F-DD99CD5A3C8A}"/>
    <cellStyle name="60% - 强调文字颜色 1" xfId="19" xr:uid="{00000000-0005-0000-0000-00001E000000}"/>
    <cellStyle name="60% - 强调文字颜色 2" xfId="20" xr:uid="{00000000-0005-0000-0000-00001F000000}"/>
    <cellStyle name="60% - 强调文字颜色 3" xfId="21" xr:uid="{00000000-0005-0000-0000-000020000000}"/>
    <cellStyle name="60% - 强调文字颜色 4" xfId="22" xr:uid="{00000000-0005-0000-0000-000021000000}"/>
    <cellStyle name="60% - 强调文字颜色 5" xfId="23" xr:uid="{00000000-0005-0000-0000-000022000000}"/>
    <cellStyle name="60% - 强调文字颜色 6" xfId="24" xr:uid="{00000000-0005-0000-0000-000023000000}"/>
    <cellStyle name="Accent1" xfId="53" xr:uid="{00000000-0005-0000-0000-000024000000}"/>
    <cellStyle name="Accent1 2" xfId="98" xr:uid="{3EBBFCE2-CCD2-471A-BDDF-0D69EF57B14C}"/>
    <cellStyle name="Accent2" xfId="54" xr:uid="{00000000-0005-0000-0000-000025000000}"/>
    <cellStyle name="Accent2 2" xfId="99" xr:uid="{5B9339D8-40A5-4C08-B08D-750DB50F78F2}"/>
    <cellStyle name="Accent3" xfId="55" xr:uid="{00000000-0005-0000-0000-000026000000}"/>
    <cellStyle name="Accent3 2" xfId="100" xr:uid="{5FADDC89-571A-448D-A851-DA84145EFCD5}"/>
    <cellStyle name="Accent4" xfId="56" xr:uid="{00000000-0005-0000-0000-000027000000}"/>
    <cellStyle name="Accent4 2" xfId="101" xr:uid="{B13A695C-15D8-4A63-B343-0DBAA4F4AE37}"/>
    <cellStyle name="Accent5" xfId="57" xr:uid="{00000000-0005-0000-0000-000028000000}"/>
    <cellStyle name="Accent5 2" xfId="102" xr:uid="{1F8582CA-9120-4448-BB39-22A74E6BC4B1}"/>
    <cellStyle name="Accent6" xfId="58" xr:uid="{00000000-0005-0000-0000-000029000000}"/>
    <cellStyle name="Accent6 2" xfId="103" xr:uid="{D6869F50-1623-4BB0-8421-7DFEC60404F7}"/>
    <cellStyle name="Bad" xfId="59" xr:uid="{00000000-0005-0000-0000-00002A000000}"/>
    <cellStyle name="Bad 2" xfId="1" xr:uid="{00000000-0005-0000-0000-00002B000000}"/>
    <cellStyle name="Bad_表11_Recovery" xfId="76" xr:uid="{00000000-0005-0000-0000-00002C000000}"/>
    <cellStyle name="Calculation" xfId="60" xr:uid="{00000000-0005-0000-0000-00002D000000}"/>
    <cellStyle name="Check Cell" xfId="61" xr:uid="{00000000-0005-0000-0000-00002E000000}"/>
    <cellStyle name="Explanatory Text" xfId="62" xr:uid="{00000000-0005-0000-0000-00002F000000}"/>
    <cellStyle name="Good" xfId="63" xr:uid="{00000000-0005-0000-0000-000030000000}"/>
    <cellStyle name="Good 2" xfId="104" xr:uid="{7133F991-C8F3-4C83-9046-C7613DBB293A}"/>
    <cellStyle name="Heading 1" xfId="64" xr:uid="{00000000-0005-0000-0000-000031000000}"/>
    <cellStyle name="Heading 2" xfId="65" xr:uid="{00000000-0005-0000-0000-000032000000}"/>
    <cellStyle name="Heading 3" xfId="66" xr:uid="{00000000-0005-0000-0000-000033000000}"/>
    <cellStyle name="Heading 4" xfId="67" xr:uid="{00000000-0005-0000-0000-000034000000}"/>
    <cellStyle name="Input" xfId="68" xr:uid="{00000000-0005-0000-0000-000035000000}"/>
    <cellStyle name="Linked Cell" xfId="69" xr:uid="{00000000-0005-0000-0000-000036000000}"/>
    <cellStyle name="Neutral" xfId="70" xr:uid="{00000000-0005-0000-0000-000037000000}"/>
    <cellStyle name="Normal 2" xfId="2" xr:uid="{00000000-0005-0000-0000-000038000000}"/>
    <cellStyle name="Normal 3" xfId="3" xr:uid="{00000000-0005-0000-0000-000039000000}"/>
    <cellStyle name="Normal_Gilead Samples 02jan07" xfId="6" xr:uid="{00000000-0005-0000-0000-00003A000000}"/>
    <cellStyle name="Note" xfId="71" xr:uid="{00000000-0005-0000-0000-00003C000000}"/>
    <cellStyle name="Note 2" xfId="105" xr:uid="{9FD92B78-654F-425D-A90E-F1C74609B72B}"/>
    <cellStyle name="Output" xfId="72" xr:uid="{00000000-0005-0000-0000-00003D000000}"/>
    <cellStyle name="Percent 2" xfId="4" xr:uid="{00000000-0005-0000-0000-00003E000000}"/>
    <cellStyle name="Title" xfId="73" xr:uid="{00000000-0005-0000-0000-00003F000000}"/>
    <cellStyle name="Total" xfId="74" xr:uid="{00000000-0005-0000-0000-000040000000}"/>
    <cellStyle name="Warning Text" xfId="75" xr:uid="{00000000-0005-0000-0000-000041000000}"/>
    <cellStyle name="百分比 2" xfId="106" xr:uid="{16E1F996-5288-4BAB-872A-A54C499D5730}"/>
    <cellStyle name="差_1.1" xfId="25" xr:uid="{00000000-0005-0000-0000-000043000000}"/>
    <cellStyle name="差_表11_Recovery" xfId="77" xr:uid="{00000000-0005-0000-0000-000044000000}"/>
    <cellStyle name="差_表2_SST" xfId="107" xr:uid="{552F0D24-2E10-43BB-8FBF-4944EA8ECAFF}"/>
    <cellStyle name="差_表25_干扰" xfId="79" xr:uid="{00000000-0005-0000-0000-000045000000}"/>
    <cellStyle name="常规" xfId="0" builtinId="0"/>
    <cellStyle name="常规 2" xfId="27" xr:uid="{00000000-0005-0000-0000-000047000000}"/>
    <cellStyle name="常规 2 2" xfId="5" xr:uid="{00000000-0005-0000-0000-000048000000}"/>
    <cellStyle name="常规 3" xfId="109" xr:uid="{51938105-6C4E-47E9-B763-C2DB2FA8BFF6}"/>
    <cellStyle name="常规 4" xfId="110" xr:uid="{89B30B2B-0A2D-4FD7-9796-D7D9E3034804}"/>
    <cellStyle name="常规 5" xfId="111" xr:uid="{67C51B02-9473-4723-84D7-9C2BB8B6D218}"/>
    <cellStyle name="常规 6" xfId="112" xr:uid="{4E101056-4E18-45A1-81FE-B83E896871A1}"/>
    <cellStyle name="常规 7" xfId="113" xr:uid="{E354180F-B09A-4FB4-A15B-D396EF51EBDD}"/>
    <cellStyle name="常规_1.1" xfId="26" xr:uid="{00000000-0005-0000-0000-000049000000}"/>
    <cellStyle name="好_1.1" xfId="28" xr:uid="{00000000-0005-0000-0000-00004C000000}"/>
    <cellStyle name="好_表11_Recovery" xfId="78" xr:uid="{00000000-0005-0000-0000-00004D000000}"/>
    <cellStyle name="好_表2_SST" xfId="108" xr:uid="{2D1C514A-860C-4F9A-A8CF-5980593F48F8}"/>
    <cellStyle name="强调文字颜色 1" xfId="29" xr:uid="{00000000-0005-0000-0000-00004E000000}"/>
    <cellStyle name="强调文字颜色 2" xfId="30" xr:uid="{00000000-0005-0000-0000-00004F000000}"/>
    <cellStyle name="强调文字颜色 3" xfId="31" xr:uid="{00000000-0005-0000-0000-000050000000}"/>
    <cellStyle name="强调文字颜色 4" xfId="32" xr:uid="{00000000-0005-0000-0000-000051000000}"/>
    <cellStyle name="强调文字颜色 5" xfId="33" xr:uid="{00000000-0005-0000-0000-000052000000}"/>
    <cellStyle name="强调文字颜色 6" xfId="34" xr:uid="{00000000-0005-0000-0000-000053000000}"/>
  </cellStyles>
  <dxfs count="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C61"/>
  <sheetViews>
    <sheetView tabSelected="1" zoomScaleNormal="100" zoomScaleSheetLayoutView="100" workbookViewId="0">
      <selection activeCell="B39" sqref="B39:C42"/>
    </sheetView>
  </sheetViews>
  <sheetFormatPr defaultColWidth="8.875" defaultRowHeight="19.5" customHeight="1"/>
  <cols>
    <col min="1" max="1" width="34.75" style="9" customWidth="1"/>
    <col min="2" max="2" width="34.875" style="9" customWidth="1"/>
    <col min="3" max="3" width="49.375" style="9" customWidth="1"/>
    <col min="4" max="16384" width="8.875" style="9"/>
  </cols>
  <sheetData>
    <row r="1" spans="1:3" ht="19.5" customHeight="1">
      <c r="A1" s="9" t="s">
        <v>15</v>
      </c>
    </row>
    <row r="3" spans="1:3" ht="19.5" customHeight="1">
      <c r="A3" s="18" t="s">
        <v>24</v>
      </c>
      <c r="B3" s="120" t="s">
        <v>180</v>
      </c>
      <c r="C3" s="120"/>
    </row>
    <row r="4" spans="1:3" ht="19.5" customHeight="1">
      <c r="A4" s="18" t="s">
        <v>17</v>
      </c>
      <c r="B4" s="122" t="s">
        <v>349</v>
      </c>
      <c r="C4" s="122"/>
    </row>
    <row r="5" spans="1:3" ht="36" customHeight="1">
      <c r="A5" s="18" t="s">
        <v>115</v>
      </c>
      <c r="B5" s="118" t="s">
        <v>392</v>
      </c>
      <c r="C5" s="119"/>
    </row>
    <row r="6" spans="1:3" ht="19.5" customHeight="1">
      <c r="A6" s="7" t="s">
        <v>116</v>
      </c>
      <c r="B6" s="18" t="s">
        <v>117</v>
      </c>
      <c r="C6" s="18" t="s">
        <v>118</v>
      </c>
    </row>
    <row r="7" spans="1:3" ht="19.5" customHeight="1">
      <c r="A7" s="18" t="s">
        <v>119</v>
      </c>
      <c r="B7" s="87" t="s">
        <v>341</v>
      </c>
      <c r="C7" s="117" t="s">
        <v>342</v>
      </c>
    </row>
    <row r="8" spans="1:3" ht="19.5" customHeight="1">
      <c r="A8" s="18" t="s">
        <v>120</v>
      </c>
      <c r="B8" s="18" t="s">
        <v>14</v>
      </c>
      <c r="C8" s="18" t="s">
        <v>121</v>
      </c>
    </row>
    <row r="9" spans="1:3" ht="19.5" customHeight="1">
      <c r="A9" s="18" t="s">
        <v>122</v>
      </c>
      <c r="B9" s="18" t="s">
        <v>14</v>
      </c>
      <c r="C9" s="18" t="s">
        <v>344</v>
      </c>
    </row>
    <row r="10" spans="1:3" ht="19.5" customHeight="1">
      <c r="A10" s="19" t="s">
        <v>123</v>
      </c>
      <c r="B10" s="120" t="s">
        <v>343</v>
      </c>
      <c r="C10" s="120"/>
    </row>
    <row r="11" spans="1:3" ht="19.5" customHeight="1">
      <c r="A11" s="18" t="s">
        <v>124</v>
      </c>
      <c r="B11" s="120" t="s">
        <v>376</v>
      </c>
      <c r="C11" s="120"/>
    </row>
    <row r="12" spans="1:3" ht="19.5" customHeight="1">
      <c r="A12" s="18" t="s">
        <v>125</v>
      </c>
      <c r="B12" s="120" t="s">
        <v>126</v>
      </c>
      <c r="C12" s="120"/>
    </row>
    <row r="13" spans="1:3" ht="19.5" customHeight="1">
      <c r="A13" s="120" t="s">
        <v>67</v>
      </c>
      <c r="B13" s="120" t="s">
        <v>377</v>
      </c>
      <c r="C13" s="120"/>
    </row>
    <row r="14" spans="1:3" ht="19.5" customHeight="1">
      <c r="A14" s="120"/>
      <c r="B14" s="120" t="s">
        <v>345</v>
      </c>
      <c r="C14" s="120"/>
    </row>
    <row r="15" spans="1:3" ht="19.5" customHeight="1">
      <c r="A15" s="120" t="s">
        <v>127</v>
      </c>
      <c r="B15" s="120" t="s">
        <v>378</v>
      </c>
      <c r="C15" s="120"/>
    </row>
    <row r="16" spans="1:3" ht="19.5" customHeight="1">
      <c r="A16" s="120"/>
      <c r="B16" s="120" t="s">
        <v>346</v>
      </c>
      <c r="C16" s="120"/>
    </row>
    <row r="17" spans="1:3" ht="19.5" customHeight="1">
      <c r="A17" s="120"/>
      <c r="B17" s="118" t="s">
        <v>350</v>
      </c>
      <c r="C17" s="119"/>
    </row>
    <row r="18" spans="1:3" ht="19.5" customHeight="1">
      <c r="A18" s="18" t="s">
        <v>128</v>
      </c>
      <c r="B18" s="118" t="s">
        <v>347</v>
      </c>
      <c r="C18" s="119"/>
    </row>
    <row r="19" spans="1:3" ht="19.5" customHeight="1">
      <c r="A19" s="18" t="s">
        <v>129</v>
      </c>
      <c r="B19" s="120" t="s">
        <v>351</v>
      </c>
      <c r="C19" s="120"/>
    </row>
    <row r="20" spans="1:3" ht="19.5" customHeight="1">
      <c r="A20" s="18" t="s">
        <v>130</v>
      </c>
      <c r="B20" s="120" t="s">
        <v>352</v>
      </c>
      <c r="C20" s="120"/>
    </row>
    <row r="21" spans="1:3" ht="19.5" customHeight="1">
      <c r="A21" s="18" t="s">
        <v>16</v>
      </c>
      <c r="B21" s="120" t="s">
        <v>348</v>
      </c>
      <c r="C21" s="120"/>
    </row>
    <row r="22" spans="1:3" ht="19.5" customHeight="1">
      <c r="A22" s="18" t="s">
        <v>131</v>
      </c>
      <c r="B22" s="118" t="s">
        <v>94</v>
      </c>
      <c r="C22" s="119"/>
    </row>
    <row r="23" spans="1:3" ht="19.5" customHeight="1">
      <c r="A23" s="18" t="s">
        <v>132</v>
      </c>
      <c r="B23" s="120" t="s">
        <v>379</v>
      </c>
      <c r="C23" s="120"/>
    </row>
    <row r="24" spans="1:3" ht="19.5" customHeight="1">
      <c r="A24" s="18" t="s">
        <v>133</v>
      </c>
      <c r="B24" s="120" t="s">
        <v>113</v>
      </c>
      <c r="C24" s="120"/>
    </row>
    <row r="25" spans="1:3" ht="33" customHeight="1">
      <c r="A25" s="18" t="s">
        <v>134</v>
      </c>
      <c r="B25" s="122" t="s">
        <v>353</v>
      </c>
      <c r="C25" s="122"/>
    </row>
    <row r="26" spans="1:3" ht="19.5" customHeight="1">
      <c r="A26" s="18" t="s">
        <v>135</v>
      </c>
      <c r="B26" s="120" t="s">
        <v>114</v>
      </c>
      <c r="C26" s="120"/>
    </row>
    <row r="27" spans="1:3" ht="19.5" customHeight="1">
      <c r="A27" s="18" t="s">
        <v>136</v>
      </c>
      <c r="B27" s="120" t="s">
        <v>354</v>
      </c>
      <c r="C27" s="120"/>
    </row>
    <row r="28" spans="1:3" ht="42" customHeight="1">
      <c r="A28" s="18" t="s">
        <v>137</v>
      </c>
      <c r="B28" s="122" t="s">
        <v>358</v>
      </c>
      <c r="C28" s="122"/>
    </row>
    <row r="29" spans="1:3" ht="19.5" customHeight="1">
      <c r="A29" s="18" t="s">
        <v>138</v>
      </c>
      <c r="B29" s="122" t="s">
        <v>359</v>
      </c>
      <c r="C29" s="122"/>
    </row>
    <row r="30" spans="1:3" ht="19.5" customHeight="1">
      <c r="A30" s="18" t="s">
        <v>139</v>
      </c>
      <c r="B30" s="122" t="s">
        <v>359</v>
      </c>
      <c r="C30" s="122"/>
    </row>
    <row r="31" spans="1:3" ht="32.25" customHeight="1">
      <c r="A31" s="18" t="s">
        <v>140</v>
      </c>
      <c r="B31" s="122" t="s">
        <v>360</v>
      </c>
      <c r="C31" s="122"/>
    </row>
    <row r="32" spans="1:3" ht="33.75" customHeight="1">
      <c r="A32" s="19" t="s">
        <v>68</v>
      </c>
      <c r="B32" s="123" t="s">
        <v>380</v>
      </c>
      <c r="C32" s="123"/>
    </row>
    <row r="33" spans="1:3" ht="30" customHeight="1">
      <c r="A33" s="18" t="s">
        <v>36</v>
      </c>
      <c r="B33" s="120" t="s">
        <v>381</v>
      </c>
      <c r="C33" s="119"/>
    </row>
    <row r="34" spans="1:3" ht="19.5" customHeight="1">
      <c r="A34" s="18" t="s">
        <v>30</v>
      </c>
      <c r="B34" s="118" t="s">
        <v>361</v>
      </c>
      <c r="C34" s="119"/>
    </row>
    <row r="35" spans="1:3" ht="33.75" customHeight="1">
      <c r="A35" s="18" t="s">
        <v>37</v>
      </c>
      <c r="B35" s="120" t="s">
        <v>355</v>
      </c>
      <c r="C35" s="120"/>
    </row>
    <row r="36" spans="1:3" ht="33.75" customHeight="1">
      <c r="A36" s="18" t="s">
        <v>69</v>
      </c>
      <c r="B36" s="118" t="s">
        <v>382</v>
      </c>
      <c r="C36" s="119"/>
    </row>
    <row r="37" spans="1:3" ht="24.6" customHeight="1">
      <c r="A37" s="18" t="s">
        <v>148</v>
      </c>
      <c r="B37" s="120" t="s">
        <v>149</v>
      </c>
      <c r="C37" s="120"/>
    </row>
    <row r="38" spans="1:3" ht="24" customHeight="1">
      <c r="A38" s="19" t="s">
        <v>141</v>
      </c>
      <c r="B38" s="18" t="s">
        <v>90</v>
      </c>
      <c r="C38" s="36" t="s">
        <v>89</v>
      </c>
    </row>
    <row r="39" spans="1:3" ht="27">
      <c r="A39" s="21" t="s">
        <v>142</v>
      </c>
      <c r="B39" s="88" t="s">
        <v>363</v>
      </c>
      <c r="C39" s="88" t="s">
        <v>364</v>
      </c>
    </row>
    <row r="40" spans="1:3" ht="27">
      <c r="A40" s="21" t="s">
        <v>143</v>
      </c>
      <c r="B40" s="88" t="s">
        <v>368</v>
      </c>
      <c r="C40" s="88" t="s">
        <v>365</v>
      </c>
    </row>
    <row r="41" spans="1:3" ht="27">
      <c r="A41" s="21" t="s">
        <v>144</v>
      </c>
      <c r="B41" s="88" t="s">
        <v>369</v>
      </c>
      <c r="C41" s="88" t="s">
        <v>366</v>
      </c>
    </row>
    <row r="42" spans="1:3" ht="27">
      <c r="A42" s="21" t="s">
        <v>145</v>
      </c>
      <c r="B42" s="88" t="s">
        <v>375</v>
      </c>
      <c r="C42" s="88" t="s">
        <v>367</v>
      </c>
    </row>
    <row r="43" spans="1:3" ht="92.45" customHeight="1">
      <c r="A43" s="18" t="s">
        <v>48</v>
      </c>
      <c r="B43" s="120" t="s">
        <v>383</v>
      </c>
      <c r="C43" s="120"/>
    </row>
    <row r="44" spans="1:3" ht="38.25" customHeight="1">
      <c r="A44" s="18" t="s">
        <v>31</v>
      </c>
      <c r="B44" s="124" t="s">
        <v>362</v>
      </c>
      <c r="C44" s="120"/>
    </row>
    <row r="45" spans="1:3" ht="31.15" customHeight="1">
      <c r="A45" s="18" t="s">
        <v>38</v>
      </c>
      <c r="B45" s="120" t="s">
        <v>384</v>
      </c>
      <c r="C45" s="120"/>
    </row>
    <row r="46" spans="1:3" ht="48" customHeight="1">
      <c r="A46" s="18" t="s">
        <v>32</v>
      </c>
      <c r="B46" s="118" t="s">
        <v>385</v>
      </c>
      <c r="C46" s="119"/>
    </row>
    <row r="47" spans="1:3" ht="39" customHeight="1">
      <c r="A47" s="18" t="s">
        <v>33</v>
      </c>
      <c r="B47" s="118" t="s">
        <v>385</v>
      </c>
      <c r="C47" s="119"/>
    </row>
    <row r="48" spans="1:3" ht="36.75" customHeight="1">
      <c r="A48" s="18" t="s">
        <v>39</v>
      </c>
      <c r="B48" s="121" t="s">
        <v>356</v>
      </c>
      <c r="C48" s="120"/>
    </row>
    <row r="49" spans="1:3" ht="28.5" customHeight="1">
      <c r="A49" s="18" t="s">
        <v>34</v>
      </c>
      <c r="B49" s="121" t="s">
        <v>356</v>
      </c>
      <c r="C49" s="120"/>
    </row>
    <row r="50" spans="1:3" ht="33.75" customHeight="1">
      <c r="A50" s="18" t="s">
        <v>40</v>
      </c>
      <c r="B50" s="125" t="s">
        <v>388</v>
      </c>
      <c r="C50" s="120"/>
    </row>
    <row r="51" spans="1:3" ht="19.5" customHeight="1">
      <c r="A51" s="18" t="s">
        <v>35</v>
      </c>
      <c r="B51" s="125" t="s">
        <v>389</v>
      </c>
      <c r="C51" s="120"/>
    </row>
    <row r="52" spans="1:3" ht="34.9" customHeight="1">
      <c r="A52" s="18" t="s">
        <v>146</v>
      </c>
      <c r="B52" s="120" t="s">
        <v>386</v>
      </c>
      <c r="C52" s="120"/>
    </row>
    <row r="53" spans="1:3" ht="19.5" customHeight="1">
      <c r="A53" s="18" t="s">
        <v>41</v>
      </c>
      <c r="B53" s="125" t="s">
        <v>390</v>
      </c>
      <c r="C53" s="120"/>
    </row>
    <row r="54" spans="1:3" ht="19.5" customHeight="1">
      <c r="A54" s="18" t="s">
        <v>42</v>
      </c>
      <c r="B54" s="125" t="s">
        <v>391</v>
      </c>
      <c r="C54" s="120"/>
    </row>
    <row r="55" spans="1:3" ht="19.5" customHeight="1">
      <c r="A55" s="18" t="s">
        <v>43</v>
      </c>
      <c r="B55" s="120" t="s">
        <v>357</v>
      </c>
      <c r="C55" s="120"/>
    </row>
    <row r="56" spans="1:3" ht="19.5" customHeight="1">
      <c r="A56" s="18" t="s">
        <v>147</v>
      </c>
      <c r="B56" s="120" t="s">
        <v>387</v>
      </c>
      <c r="C56" s="120"/>
    </row>
    <row r="59" spans="1:3" ht="19.5" customHeight="1">
      <c r="A59" s="4"/>
    </row>
    <row r="60" spans="1:3" ht="19.5" customHeight="1">
      <c r="A60" s="4"/>
    </row>
    <row r="61" spans="1:3" ht="19.5" customHeight="1">
      <c r="A61" s="4"/>
    </row>
  </sheetData>
  <mergeCells count="47">
    <mergeCell ref="B55:C55"/>
    <mergeCell ref="B56:C56"/>
    <mergeCell ref="B49:C49"/>
    <mergeCell ref="B50:C50"/>
    <mergeCell ref="B51:C51"/>
    <mergeCell ref="B52:C52"/>
    <mergeCell ref="B53:C53"/>
    <mergeCell ref="B54:C54"/>
    <mergeCell ref="B30:C30"/>
    <mergeCell ref="B35:C35"/>
    <mergeCell ref="B31:C31"/>
    <mergeCell ref="B32:C32"/>
    <mergeCell ref="B45:C45"/>
    <mergeCell ref="B43:C43"/>
    <mergeCell ref="B44:C44"/>
    <mergeCell ref="B33:C33"/>
    <mergeCell ref="B34:C34"/>
    <mergeCell ref="B37:C37"/>
    <mergeCell ref="A13:A14"/>
    <mergeCell ref="B13:C13"/>
    <mergeCell ref="B14:C14"/>
    <mergeCell ref="A15:A17"/>
    <mergeCell ref="B15:C15"/>
    <mergeCell ref="B16:C16"/>
    <mergeCell ref="B17:C17"/>
    <mergeCell ref="B12:C12"/>
    <mergeCell ref="B3:C3"/>
    <mergeCell ref="B5:C5"/>
    <mergeCell ref="B10:C10"/>
    <mergeCell ref="B11:C11"/>
    <mergeCell ref="B4:C4"/>
    <mergeCell ref="B18:C18"/>
    <mergeCell ref="B24:C24"/>
    <mergeCell ref="B48:C48"/>
    <mergeCell ref="B19:C19"/>
    <mergeCell ref="B20:C20"/>
    <mergeCell ref="B22:C22"/>
    <mergeCell ref="B23:C23"/>
    <mergeCell ref="B21:C21"/>
    <mergeCell ref="B46:C46"/>
    <mergeCell ref="B47:C47"/>
    <mergeCell ref="B25:C25"/>
    <mergeCell ref="B26:C26"/>
    <mergeCell ref="B36:C36"/>
    <mergeCell ref="B27:C27"/>
    <mergeCell ref="B28:C28"/>
    <mergeCell ref="B29:C29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53" orientation="portrait" r:id="rId1"/>
  <headerFooter>
    <oddHeader>&amp;C 1632MV7生物分析方法学验证数据</oddHeader>
    <oddFooter>&amp;C第&amp;P页，共&amp;N页</oddFooter>
  </headerFooter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B17"/>
  <sheetViews>
    <sheetView zoomScaleNormal="100" zoomScaleSheetLayoutView="100" workbookViewId="0">
      <selection activeCell="B15" sqref="B15"/>
    </sheetView>
  </sheetViews>
  <sheetFormatPr defaultColWidth="8.875" defaultRowHeight="13.5"/>
  <cols>
    <col min="1" max="1" width="21" style="6" customWidth="1"/>
    <col min="2" max="2" width="39.25" style="6" customWidth="1"/>
    <col min="3" max="16384" width="8.875" style="6"/>
  </cols>
  <sheetData>
    <row r="2" spans="1:2">
      <c r="A2" s="10" t="s">
        <v>27</v>
      </c>
    </row>
    <row r="3" spans="1:2">
      <c r="A3" s="10"/>
    </row>
    <row r="4" spans="1:2" ht="15" customHeight="1">
      <c r="A4" s="91" t="s">
        <v>320</v>
      </c>
      <c r="B4" s="92" t="s">
        <v>321</v>
      </c>
    </row>
    <row r="5" spans="1:2" ht="15" customHeight="1">
      <c r="A5" s="93" t="s">
        <v>322</v>
      </c>
      <c r="B5" s="89" t="s">
        <v>323</v>
      </c>
    </row>
    <row r="6" spans="1:2" ht="15" customHeight="1">
      <c r="A6" s="93" t="s">
        <v>324</v>
      </c>
      <c r="B6" s="89" t="s">
        <v>325</v>
      </c>
    </row>
    <row r="7" spans="1:2" ht="15" customHeight="1">
      <c r="A7" s="93" t="s">
        <v>326</v>
      </c>
      <c r="B7" s="89" t="s">
        <v>327</v>
      </c>
    </row>
    <row r="8" spans="1:2" ht="15" customHeight="1">
      <c r="A8" s="93" t="s">
        <v>328</v>
      </c>
      <c r="B8" s="89">
        <v>15924.23</v>
      </c>
    </row>
    <row r="9" spans="1:2" ht="15" customHeight="1">
      <c r="A9" s="93" t="s">
        <v>329</v>
      </c>
      <c r="B9" s="89">
        <v>15066.94</v>
      </c>
    </row>
    <row r="10" spans="1:2" ht="15" customHeight="1">
      <c r="A10" s="93" t="s">
        <v>330</v>
      </c>
      <c r="B10" s="89">
        <v>6975.7</v>
      </c>
    </row>
    <row r="11" spans="1:2" ht="15" customHeight="1">
      <c r="A11" s="93" t="s">
        <v>331</v>
      </c>
      <c r="B11" s="89">
        <v>8091.2</v>
      </c>
    </row>
    <row r="12" spans="1:2" ht="15.75">
      <c r="A12" s="93" t="s">
        <v>332</v>
      </c>
      <c r="B12" s="112">
        <v>0.88</v>
      </c>
    </row>
    <row r="13" spans="1:2" ht="15.75">
      <c r="A13" s="93" t="s">
        <v>333</v>
      </c>
      <c r="B13" s="89" t="s">
        <v>334</v>
      </c>
    </row>
    <row r="14" spans="1:2" ht="15.75">
      <c r="A14" s="93" t="s">
        <v>335</v>
      </c>
      <c r="B14" s="89" t="s">
        <v>336</v>
      </c>
    </row>
    <row r="15" spans="1:2" ht="15.75">
      <c r="A15" s="93" t="s">
        <v>337</v>
      </c>
      <c r="B15" s="90">
        <v>46241</v>
      </c>
    </row>
    <row r="16" spans="1:2" ht="14.25">
      <c r="A16" s="93" t="s">
        <v>338</v>
      </c>
      <c r="B16" s="93" t="s">
        <v>339</v>
      </c>
    </row>
    <row r="17" spans="1:2" ht="32.450000000000003" customHeight="1">
      <c r="A17" s="126" t="s">
        <v>340</v>
      </c>
      <c r="B17" s="126"/>
    </row>
  </sheetData>
  <mergeCells count="1">
    <mergeCell ref="A17:B17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2:B11"/>
  <sheetViews>
    <sheetView zoomScaleNormal="100" zoomScaleSheetLayoutView="100" workbookViewId="0">
      <selection activeCell="D17" sqref="D17"/>
    </sheetView>
  </sheetViews>
  <sheetFormatPr defaultColWidth="8.875" defaultRowHeight="13.5"/>
  <cols>
    <col min="1" max="1" width="21" style="6" customWidth="1"/>
    <col min="2" max="2" width="30.875" style="6" customWidth="1"/>
    <col min="3" max="3" width="29.375" style="6" customWidth="1"/>
    <col min="4" max="16384" width="8.875" style="6"/>
  </cols>
  <sheetData>
    <row r="2" spans="1:2">
      <c r="A2" s="10" t="s">
        <v>28</v>
      </c>
    </row>
    <row r="3" spans="1:2" ht="15">
      <c r="B3" s="2"/>
    </row>
    <row r="4" spans="1:2" ht="15.75" customHeight="1">
      <c r="A4" s="113" t="s">
        <v>307</v>
      </c>
      <c r="B4" s="89" t="s">
        <v>308</v>
      </c>
    </row>
    <row r="5" spans="1:2" ht="15.75" customHeight="1">
      <c r="A5" s="113" t="s">
        <v>309</v>
      </c>
      <c r="B5" s="89" t="s">
        <v>310</v>
      </c>
    </row>
    <row r="6" spans="1:2" ht="15.75" customHeight="1">
      <c r="A6" s="113" t="s">
        <v>311</v>
      </c>
      <c r="B6" s="89" t="s">
        <v>312</v>
      </c>
    </row>
    <row r="7" spans="1:2" ht="15.75" customHeight="1">
      <c r="A7" s="113" t="s">
        <v>313</v>
      </c>
      <c r="B7" s="89" t="s">
        <v>314</v>
      </c>
    </row>
    <row r="8" spans="1:2" ht="15.75" customHeight="1">
      <c r="A8" s="114" t="s">
        <v>374</v>
      </c>
      <c r="B8" s="112">
        <v>0.98199999999999998</v>
      </c>
    </row>
    <row r="9" spans="1:2" ht="15.75" customHeight="1">
      <c r="A9" s="113" t="s">
        <v>315</v>
      </c>
      <c r="B9" s="89" t="s">
        <v>316</v>
      </c>
    </row>
    <row r="10" spans="1:2" ht="15.75" customHeight="1">
      <c r="A10" s="113" t="s">
        <v>317</v>
      </c>
      <c r="B10" s="90">
        <v>46367</v>
      </c>
    </row>
    <row r="11" spans="1:2" ht="15.75" customHeight="1">
      <c r="A11" s="113" t="s">
        <v>318</v>
      </c>
      <c r="B11" s="89" t="s">
        <v>319</v>
      </c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C58"/>
  <sheetViews>
    <sheetView zoomScaleNormal="100" zoomScaleSheetLayoutView="115" workbookViewId="0">
      <selection activeCell="N9" sqref="N9"/>
    </sheetView>
  </sheetViews>
  <sheetFormatPr defaultColWidth="9" defaultRowHeight="13.5"/>
  <cols>
    <col min="1" max="1" width="27.875" style="3" bestFit="1" customWidth="1"/>
    <col min="2" max="2" width="33.625" style="3" bestFit="1" customWidth="1"/>
    <col min="3" max="3" width="15.625" style="3" bestFit="1" customWidth="1"/>
    <col min="4" max="4" width="16.5" style="3" customWidth="1"/>
    <col min="5" max="16384" width="9" style="3"/>
  </cols>
  <sheetData>
    <row r="1" spans="1:3" ht="15" customHeight="1"/>
    <row r="2" spans="1:3" ht="15" customHeight="1">
      <c r="A2" s="3" t="s">
        <v>29</v>
      </c>
    </row>
    <row r="3" spans="1:3" ht="15" customHeight="1"/>
    <row r="4" spans="1:3">
      <c r="A4" s="108" t="s">
        <v>91</v>
      </c>
      <c r="B4" s="108" t="s">
        <v>92</v>
      </c>
      <c r="C4" s="106" t="s">
        <v>93</v>
      </c>
    </row>
    <row r="5" spans="1:3" ht="15.75" customHeight="1">
      <c r="A5" s="109" t="s">
        <v>283</v>
      </c>
      <c r="B5" s="109" t="s">
        <v>284</v>
      </c>
      <c r="C5" s="109" t="s">
        <v>285</v>
      </c>
    </row>
    <row r="6" spans="1:3" ht="15.75" customHeight="1">
      <c r="A6" s="109" t="s">
        <v>286</v>
      </c>
      <c r="B6" s="109" t="s">
        <v>284</v>
      </c>
      <c r="C6" s="109" t="s">
        <v>285</v>
      </c>
    </row>
    <row r="7" spans="1:3" ht="15.75" customHeight="1">
      <c r="A7" s="109" t="s">
        <v>287</v>
      </c>
      <c r="B7" s="109" t="s">
        <v>284</v>
      </c>
      <c r="C7" s="109" t="s">
        <v>285</v>
      </c>
    </row>
    <row r="8" spans="1:3" ht="15.75" customHeight="1">
      <c r="A8" s="109" t="s">
        <v>288</v>
      </c>
      <c r="B8" s="109" t="s">
        <v>284</v>
      </c>
      <c r="C8" s="109" t="s">
        <v>285</v>
      </c>
    </row>
    <row r="9" spans="1:3" ht="15.75" customHeight="1">
      <c r="A9" s="109" t="s">
        <v>289</v>
      </c>
      <c r="B9" s="109" t="s">
        <v>290</v>
      </c>
      <c r="C9" s="109" t="s">
        <v>291</v>
      </c>
    </row>
    <row r="10" spans="1:3" ht="15.75" customHeight="1">
      <c r="A10" s="109" t="s">
        <v>292</v>
      </c>
      <c r="B10" s="109" t="s">
        <v>284</v>
      </c>
      <c r="C10" s="109" t="s">
        <v>285</v>
      </c>
    </row>
    <row r="11" spans="1:3" ht="15.75" customHeight="1">
      <c r="A11" s="109" t="s">
        <v>293</v>
      </c>
      <c r="B11" s="110" t="s">
        <v>294</v>
      </c>
      <c r="C11" s="109" t="s">
        <v>285</v>
      </c>
    </row>
    <row r="12" spans="1:3" ht="15">
      <c r="A12" s="109" t="s">
        <v>295</v>
      </c>
      <c r="B12" s="109" t="s">
        <v>290</v>
      </c>
      <c r="C12" s="109" t="s">
        <v>296</v>
      </c>
    </row>
    <row r="13" spans="1:3" ht="15">
      <c r="A13" s="109" t="s">
        <v>297</v>
      </c>
      <c r="B13" s="109" t="s">
        <v>298</v>
      </c>
      <c r="C13" s="109" t="s">
        <v>285</v>
      </c>
    </row>
    <row r="14" spans="1:3" ht="15">
      <c r="A14" s="109" t="s">
        <v>299</v>
      </c>
      <c r="B14" s="109" t="s">
        <v>300</v>
      </c>
      <c r="C14" s="109" t="s">
        <v>285</v>
      </c>
    </row>
    <row r="15" spans="1:3" ht="15">
      <c r="A15" s="109" t="s">
        <v>301</v>
      </c>
      <c r="B15" s="109" t="s">
        <v>298</v>
      </c>
      <c r="C15" s="109" t="s">
        <v>302</v>
      </c>
    </row>
    <row r="16" spans="1:3" ht="15">
      <c r="A16" s="109" t="s">
        <v>303</v>
      </c>
      <c r="B16" s="109" t="s">
        <v>304</v>
      </c>
      <c r="C16" s="111">
        <v>0.99990000000000001</v>
      </c>
    </row>
    <row r="17" spans="1:3" ht="15">
      <c r="A17" s="109" t="s">
        <v>305</v>
      </c>
      <c r="B17" s="109" t="s">
        <v>300</v>
      </c>
      <c r="C17" s="109" t="s">
        <v>306</v>
      </c>
    </row>
    <row r="57" spans="2:2">
      <c r="B57" s="6"/>
    </row>
    <row r="58" spans="2:2">
      <c r="B58" s="6"/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D5"/>
  <sheetViews>
    <sheetView workbookViewId="0">
      <selection activeCell="E30" sqref="E30"/>
    </sheetView>
  </sheetViews>
  <sheetFormatPr defaultColWidth="8.875" defaultRowHeight="15.75" customHeight="1"/>
  <cols>
    <col min="1" max="1" width="21" style="2" customWidth="1"/>
    <col min="2" max="2" width="35.375" style="2" customWidth="1"/>
    <col min="3" max="3" width="18" style="2" customWidth="1"/>
    <col min="4" max="4" width="18.75" style="2" customWidth="1"/>
    <col min="5" max="16384" width="8.875" style="2"/>
  </cols>
  <sheetData>
    <row r="1" spans="1:4" ht="15.75" customHeight="1">
      <c r="A1" s="2" t="s">
        <v>100</v>
      </c>
    </row>
    <row r="3" spans="1:4" s="3" customFormat="1" ht="15.75" customHeight="1">
      <c r="A3" s="84" t="s">
        <v>276</v>
      </c>
      <c r="B3" s="84" t="s">
        <v>277</v>
      </c>
      <c r="C3" s="84" t="s">
        <v>278</v>
      </c>
      <c r="D3" s="84" t="s">
        <v>279</v>
      </c>
    </row>
    <row r="4" spans="1:4" s="3" customFormat="1" ht="15.75" customHeight="1">
      <c r="A4" s="84" t="s">
        <v>280</v>
      </c>
      <c r="B4" s="85" t="s">
        <v>281</v>
      </c>
      <c r="C4" s="85" t="s">
        <v>275</v>
      </c>
      <c r="D4" s="86">
        <v>45898</v>
      </c>
    </row>
    <row r="5" spans="1:4" s="3" customFormat="1" ht="15.75" customHeight="1">
      <c r="A5" s="84" t="s">
        <v>282</v>
      </c>
      <c r="B5" s="85" t="s">
        <v>281</v>
      </c>
      <c r="C5" s="85" t="s">
        <v>274</v>
      </c>
      <c r="D5" s="86">
        <v>45901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2:C16"/>
  <sheetViews>
    <sheetView zoomScaleNormal="100" zoomScaleSheetLayoutView="100" workbookViewId="0">
      <selection activeCell="G33" sqref="G33"/>
    </sheetView>
  </sheetViews>
  <sheetFormatPr defaultColWidth="8.875" defaultRowHeight="16.5" customHeight="1"/>
  <cols>
    <col min="1" max="1" width="23.375" style="15" customWidth="1"/>
    <col min="2" max="2" width="26.125" style="15" customWidth="1"/>
    <col min="3" max="3" width="30.75" style="15" customWidth="1"/>
    <col min="4" max="16384" width="8.875" style="15"/>
  </cols>
  <sheetData>
    <row r="2" spans="1:3" ht="16.5" customHeight="1">
      <c r="A2" s="22" t="s">
        <v>101</v>
      </c>
    </row>
    <row r="4" spans="1:3" ht="15.75" customHeight="1">
      <c r="A4" s="23" t="s">
        <v>95</v>
      </c>
      <c r="B4" s="23" t="s">
        <v>96</v>
      </c>
      <c r="C4" s="23" t="s">
        <v>97</v>
      </c>
    </row>
    <row r="5" spans="1:3" ht="15.75" customHeight="1">
      <c r="A5" s="129" t="s">
        <v>98</v>
      </c>
      <c r="B5" s="31">
        <v>45902</v>
      </c>
      <c r="C5" s="127" t="s">
        <v>108</v>
      </c>
    </row>
    <row r="6" spans="1:3" ht="15.75" customHeight="1">
      <c r="A6" s="130"/>
      <c r="B6" s="31">
        <v>45903</v>
      </c>
      <c r="C6" s="128"/>
    </row>
    <row r="7" spans="1:3" ht="15.75" customHeight="1">
      <c r="A7" s="130"/>
      <c r="B7" s="31">
        <v>45904</v>
      </c>
      <c r="C7" s="128"/>
    </row>
    <row r="8" spans="1:3" ht="15.75" customHeight="1">
      <c r="A8" s="130"/>
      <c r="B8" s="31">
        <v>45908</v>
      </c>
      <c r="C8" s="128"/>
    </row>
    <row r="9" spans="1:3" ht="16.5" customHeight="1">
      <c r="A9" s="130"/>
      <c r="B9" s="31">
        <v>45911</v>
      </c>
      <c r="C9" s="128"/>
    </row>
    <row r="10" spans="1:3" ht="16.5" customHeight="1">
      <c r="A10" s="131"/>
      <c r="B10" s="31">
        <v>45989</v>
      </c>
      <c r="C10" s="132"/>
    </row>
    <row r="11" spans="1:3" ht="16.5" customHeight="1">
      <c r="A11" s="129" t="s">
        <v>99</v>
      </c>
      <c r="B11" s="31">
        <v>45902</v>
      </c>
      <c r="C11" s="127" t="s">
        <v>108</v>
      </c>
    </row>
    <row r="12" spans="1:3" ht="16.5" customHeight="1">
      <c r="A12" s="130"/>
      <c r="B12" s="31">
        <v>45903</v>
      </c>
      <c r="C12" s="128"/>
    </row>
    <row r="13" spans="1:3" ht="16.5" customHeight="1">
      <c r="A13" s="130"/>
      <c r="B13" s="31">
        <v>45904</v>
      </c>
      <c r="C13" s="128"/>
    </row>
    <row r="14" spans="1:3" ht="16.5" customHeight="1">
      <c r="A14" s="130"/>
      <c r="B14" s="31">
        <v>45908</v>
      </c>
      <c r="C14" s="128"/>
    </row>
    <row r="15" spans="1:3" ht="16.5" customHeight="1">
      <c r="A15" s="130"/>
      <c r="B15" s="31">
        <v>45911</v>
      </c>
      <c r="C15" s="128"/>
    </row>
    <row r="16" spans="1:3" ht="16.5" customHeight="1">
      <c r="A16" s="130"/>
      <c r="B16" s="31">
        <v>45989</v>
      </c>
      <c r="C16" s="128"/>
    </row>
  </sheetData>
  <mergeCells count="4">
    <mergeCell ref="C11:C16"/>
    <mergeCell ref="A11:A16"/>
    <mergeCell ref="A5:A10"/>
    <mergeCell ref="C5:C10"/>
  </mergeCells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scale="89" orientation="landscape" r:id="rId1"/>
  <headerFooter>
    <oddHeader>&amp;C18903MV01验证数据汇总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2:G21"/>
  <sheetViews>
    <sheetView zoomScaleNormal="100" zoomScaleSheetLayoutView="100" workbookViewId="0">
      <selection activeCell="B6" sqref="B6:B14"/>
    </sheetView>
  </sheetViews>
  <sheetFormatPr defaultRowHeight="14.25"/>
  <cols>
    <col min="2" max="2" width="67.625" customWidth="1"/>
    <col min="3" max="4" width="10.875" customWidth="1"/>
    <col min="5" max="5" width="18.375" customWidth="1"/>
    <col min="6" max="6" width="15.375" customWidth="1"/>
    <col min="7" max="7" width="9.375" customWidth="1"/>
  </cols>
  <sheetData>
    <row r="2" spans="1:7">
      <c r="A2" s="133" t="s">
        <v>60</v>
      </c>
      <c r="B2" s="133"/>
    </row>
    <row r="3" spans="1:7">
      <c r="A3" s="10"/>
    </row>
    <row r="4" spans="1:7" ht="31.15" customHeight="1">
      <c r="A4" s="20" t="s">
        <v>18</v>
      </c>
      <c r="B4" s="20" t="s">
        <v>19</v>
      </c>
      <c r="C4" s="20" t="s">
        <v>153</v>
      </c>
      <c r="D4" s="20" t="s">
        <v>20</v>
      </c>
      <c r="E4" s="24" t="s">
        <v>154</v>
      </c>
      <c r="F4" s="24" t="s">
        <v>155</v>
      </c>
      <c r="G4" s="39" t="s">
        <v>156</v>
      </c>
    </row>
    <row r="5" spans="1:7" ht="27.75">
      <c r="A5" s="13">
        <v>1</v>
      </c>
      <c r="B5" s="40" t="s">
        <v>157</v>
      </c>
      <c r="C5" s="31">
        <v>45902</v>
      </c>
      <c r="D5" s="31">
        <v>45902</v>
      </c>
      <c r="E5" s="24" t="s">
        <v>158</v>
      </c>
      <c r="F5" s="24" t="s">
        <v>158</v>
      </c>
      <c r="G5" s="39" t="s">
        <v>159</v>
      </c>
    </row>
    <row r="6" spans="1:7" ht="26.25">
      <c r="A6" s="13">
        <v>2</v>
      </c>
      <c r="B6" s="40" t="s">
        <v>160</v>
      </c>
      <c r="C6" s="31">
        <v>45903</v>
      </c>
      <c r="D6" s="31">
        <v>45903</v>
      </c>
      <c r="E6" s="41" t="s">
        <v>161</v>
      </c>
      <c r="F6" s="41" t="s">
        <v>161</v>
      </c>
      <c r="G6" s="39" t="s">
        <v>159</v>
      </c>
    </row>
    <row r="7" spans="1:7" ht="16.5">
      <c r="A7" s="13">
        <v>3</v>
      </c>
      <c r="B7" s="42" t="s">
        <v>162</v>
      </c>
      <c r="C7" s="31">
        <v>45903</v>
      </c>
      <c r="D7" s="31">
        <v>45907</v>
      </c>
      <c r="E7" s="24" t="s">
        <v>163</v>
      </c>
      <c r="F7" s="24" t="s">
        <v>163</v>
      </c>
      <c r="G7" s="39" t="s">
        <v>159</v>
      </c>
    </row>
    <row r="8" spans="1:7" ht="27.75">
      <c r="A8" s="13">
        <v>4</v>
      </c>
      <c r="B8" s="40" t="s">
        <v>157</v>
      </c>
      <c r="C8" s="31">
        <v>45904</v>
      </c>
      <c r="D8" s="31">
        <v>45905</v>
      </c>
      <c r="E8" s="41" t="s">
        <v>161</v>
      </c>
      <c r="F8" s="41" t="s">
        <v>161</v>
      </c>
      <c r="G8" s="39" t="s">
        <v>159</v>
      </c>
    </row>
    <row r="9" spans="1:7" ht="16.5">
      <c r="A9" s="13">
        <v>5</v>
      </c>
      <c r="B9" s="18" t="s">
        <v>164</v>
      </c>
      <c r="C9" s="31">
        <v>45905</v>
      </c>
      <c r="D9" s="31">
        <v>45907</v>
      </c>
      <c r="E9" s="24" t="s">
        <v>165</v>
      </c>
      <c r="F9" s="24" t="s">
        <v>165</v>
      </c>
      <c r="G9" s="39" t="s">
        <v>159</v>
      </c>
    </row>
    <row r="10" spans="1:7" ht="16.5">
      <c r="A10" s="13">
        <v>6</v>
      </c>
      <c r="B10" s="42" t="s">
        <v>166</v>
      </c>
      <c r="C10" s="31">
        <v>45908</v>
      </c>
      <c r="D10" s="31">
        <v>45908</v>
      </c>
      <c r="E10" s="24" t="s">
        <v>165</v>
      </c>
      <c r="F10" s="24" t="s">
        <v>165</v>
      </c>
      <c r="G10" s="39" t="s">
        <v>159</v>
      </c>
    </row>
    <row r="11" spans="1:7" ht="41.25" customHeight="1">
      <c r="A11" s="13">
        <v>7</v>
      </c>
      <c r="B11" s="42" t="s">
        <v>167</v>
      </c>
      <c r="C11" s="31">
        <v>45908</v>
      </c>
      <c r="D11" s="31">
        <v>45909</v>
      </c>
      <c r="E11" s="41" t="s">
        <v>161</v>
      </c>
      <c r="F11" s="41" t="s">
        <v>168</v>
      </c>
      <c r="G11" s="39" t="s">
        <v>159</v>
      </c>
    </row>
    <row r="12" spans="1:7" ht="16.5">
      <c r="A12" s="13">
        <v>8</v>
      </c>
      <c r="B12" s="42" t="s">
        <v>169</v>
      </c>
      <c r="C12" s="31">
        <v>45911</v>
      </c>
      <c r="D12" s="31">
        <v>45912</v>
      </c>
      <c r="E12" s="43"/>
      <c r="F12" s="41" t="s">
        <v>161</v>
      </c>
      <c r="G12" s="39" t="s">
        <v>159</v>
      </c>
    </row>
    <row r="13" spans="1:7" ht="16.5">
      <c r="A13" s="13">
        <v>9</v>
      </c>
      <c r="B13" s="42" t="s">
        <v>177</v>
      </c>
      <c r="C13" s="31">
        <v>45973</v>
      </c>
      <c r="D13" s="31">
        <v>45973</v>
      </c>
      <c r="E13" s="24" t="s">
        <v>165</v>
      </c>
      <c r="F13" s="24" t="s">
        <v>165</v>
      </c>
      <c r="G13" s="39" t="s">
        <v>176</v>
      </c>
    </row>
    <row r="14" spans="1:7">
      <c r="A14" s="13">
        <v>10</v>
      </c>
      <c r="B14" s="42" t="s">
        <v>178</v>
      </c>
      <c r="C14" s="31">
        <v>45989</v>
      </c>
      <c r="D14" s="31">
        <v>45990</v>
      </c>
      <c r="E14" s="41" t="s">
        <v>161</v>
      </c>
      <c r="F14" s="41" t="s">
        <v>161</v>
      </c>
      <c r="G14" s="39" t="s">
        <v>159</v>
      </c>
    </row>
    <row r="15" spans="1:7" ht="14.25" customHeight="1">
      <c r="A15" s="9" t="s">
        <v>85</v>
      </c>
    </row>
    <row r="16" spans="1:7">
      <c r="A16" s="44" t="s">
        <v>170</v>
      </c>
      <c r="B16" s="5"/>
      <c r="C16" s="5"/>
      <c r="D16" s="5"/>
      <c r="E16" s="5"/>
      <c r="F16" s="5"/>
      <c r="G16" s="5"/>
    </row>
    <row r="17" spans="1:7" ht="15">
      <c r="A17" s="45" t="s">
        <v>171</v>
      </c>
      <c r="B17" s="11"/>
      <c r="C17" s="11"/>
      <c r="D17" s="11"/>
      <c r="E17" s="11"/>
      <c r="F17" s="11"/>
    </row>
    <row r="18" spans="1:7" ht="37.5" customHeight="1">
      <c r="A18" s="134" t="s">
        <v>172</v>
      </c>
      <c r="B18" s="134"/>
      <c r="C18" s="134"/>
      <c r="D18" s="134"/>
      <c r="E18" s="134"/>
      <c r="F18" s="134"/>
      <c r="G18" s="134"/>
    </row>
    <row r="19" spans="1:7" ht="15">
      <c r="A19" s="46" t="s">
        <v>173</v>
      </c>
      <c r="B19" s="11"/>
      <c r="C19" s="11"/>
      <c r="D19" s="11"/>
      <c r="E19" s="11"/>
      <c r="F19" s="11"/>
    </row>
    <row r="20" spans="1:7">
      <c r="A20" s="46" t="s">
        <v>174</v>
      </c>
    </row>
    <row r="21" spans="1:7">
      <c r="A21" s="45" t="s">
        <v>175</v>
      </c>
    </row>
  </sheetData>
  <mergeCells count="2">
    <mergeCell ref="A2:B2"/>
    <mergeCell ref="A18:G18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59" orientation="portrait" r:id="rId1"/>
  <headerFooter>
    <oddHeader>&amp;C 1632MV7生物分析方法学验证数据</oddHeader>
    <oddFooter>&amp;C第&amp;P页，共&amp;N页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2:D27"/>
  <sheetViews>
    <sheetView topLeftCell="A7" zoomScaleNormal="100" zoomScaleSheetLayoutView="100" workbookViewId="0">
      <selection activeCell="B19" sqref="B19:C27"/>
    </sheetView>
  </sheetViews>
  <sheetFormatPr defaultColWidth="8.875" defaultRowHeight="13.5"/>
  <cols>
    <col min="1" max="4" width="17.5" style="5" customWidth="1"/>
    <col min="5" max="16384" width="8.875" style="5"/>
  </cols>
  <sheetData>
    <row r="2" spans="1:4">
      <c r="A2" s="135" t="s">
        <v>59</v>
      </c>
      <c r="B2" s="135"/>
      <c r="C2" s="135"/>
    </row>
    <row r="4" spans="1:4">
      <c r="A4" s="5" t="s">
        <v>179</v>
      </c>
    </row>
    <row r="5" spans="1:4" ht="16.5" customHeight="1">
      <c r="A5" s="136" t="s">
        <v>18</v>
      </c>
      <c r="B5" s="137" t="s">
        <v>61</v>
      </c>
      <c r="C5" s="138"/>
      <c r="D5" s="139"/>
    </row>
    <row r="6" spans="1:4" ht="16.5" customHeight="1">
      <c r="A6" s="136"/>
      <c r="B6" s="20" t="s">
        <v>84</v>
      </c>
      <c r="C6" s="20" t="s">
        <v>21</v>
      </c>
      <c r="D6" s="20" t="s">
        <v>182</v>
      </c>
    </row>
    <row r="7" spans="1:4" ht="16.5" customHeight="1">
      <c r="A7" s="48">
        <v>2</v>
      </c>
      <c r="B7" s="49">
        <v>0</v>
      </c>
      <c r="C7" s="49">
        <v>0.3</v>
      </c>
      <c r="D7" s="49">
        <v>4.3</v>
      </c>
    </row>
    <row r="8" spans="1:4" ht="16.5" customHeight="1">
      <c r="A8" s="48">
        <v>3</v>
      </c>
      <c r="B8" s="49">
        <v>1.3</v>
      </c>
      <c r="C8" s="49">
        <v>1.3</v>
      </c>
      <c r="D8" s="49">
        <v>2.9</v>
      </c>
    </row>
    <row r="9" spans="1:4" ht="16.5" customHeight="1">
      <c r="A9" s="48">
        <v>4</v>
      </c>
      <c r="B9" s="49">
        <v>0.3</v>
      </c>
      <c r="C9" s="49">
        <v>0</v>
      </c>
      <c r="D9" s="49">
        <v>4.2</v>
      </c>
    </row>
    <row r="10" spans="1:4" ht="16.5" customHeight="1">
      <c r="A10" s="48">
        <v>5</v>
      </c>
      <c r="B10" s="49">
        <v>1</v>
      </c>
      <c r="C10" s="49">
        <v>1</v>
      </c>
      <c r="D10" s="49">
        <v>8.1999999999999993</v>
      </c>
    </row>
    <row r="11" spans="1:4" ht="16.5" customHeight="1">
      <c r="A11" s="48">
        <v>6</v>
      </c>
      <c r="B11" s="49">
        <v>0.3</v>
      </c>
      <c r="C11" s="49">
        <v>0.3</v>
      </c>
      <c r="D11" s="49">
        <v>1.6</v>
      </c>
    </row>
    <row r="12" spans="1:4" ht="16.5" customHeight="1">
      <c r="A12" s="48">
        <v>7</v>
      </c>
      <c r="B12" s="49">
        <v>0</v>
      </c>
      <c r="C12" s="49">
        <v>0</v>
      </c>
      <c r="D12" s="49">
        <v>0.6</v>
      </c>
    </row>
    <row r="13" spans="1:4" ht="16.5" customHeight="1">
      <c r="A13" s="48">
        <v>9</v>
      </c>
      <c r="B13" s="49">
        <v>0.3</v>
      </c>
      <c r="C13" s="49">
        <v>0.3</v>
      </c>
      <c r="D13" s="49">
        <v>7.3</v>
      </c>
    </row>
    <row r="14" spans="1:4" ht="16.5" customHeight="1">
      <c r="A14" s="48">
        <v>10</v>
      </c>
      <c r="B14" s="49">
        <v>0.3</v>
      </c>
      <c r="C14" s="49">
        <v>0</v>
      </c>
      <c r="D14" s="49">
        <v>2.6</v>
      </c>
    </row>
    <row r="15" spans="1:4" ht="16.5" customHeight="1"/>
    <row r="16" spans="1:4" ht="16.5" customHeight="1">
      <c r="A16" s="5" t="s">
        <v>181</v>
      </c>
    </row>
    <row r="17" spans="1:4" ht="16.5" customHeight="1">
      <c r="A17" s="136" t="s">
        <v>18</v>
      </c>
      <c r="B17" s="137" t="s">
        <v>61</v>
      </c>
      <c r="C17" s="138"/>
      <c r="D17" s="139"/>
    </row>
    <row r="18" spans="1:4" ht="16.5" customHeight="1">
      <c r="A18" s="136"/>
      <c r="B18" s="20" t="s">
        <v>84</v>
      </c>
      <c r="C18" s="20" t="s">
        <v>21</v>
      </c>
      <c r="D18" s="20" t="s">
        <v>182</v>
      </c>
    </row>
    <row r="19" spans="1:4" ht="16.5" customHeight="1">
      <c r="A19" s="48">
        <v>2</v>
      </c>
      <c r="B19" s="49">
        <v>0</v>
      </c>
      <c r="C19" s="49">
        <v>0.3</v>
      </c>
      <c r="D19" s="49">
        <v>3.6</v>
      </c>
    </row>
    <row r="20" spans="1:4" ht="16.5" customHeight="1">
      <c r="A20" s="48">
        <v>3</v>
      </c>
      <c r="B20" s="49">
        <v>0.2</v>
      </c>
      <c r="C20" s="49">
        <v>1.3</v>
      </c>
      <c r="D20" s="49">
        <v>3.6</v>
      </c>
    </row>
    <row r="21" spans="1:4" ht="16.5" customHeight="1">
      <c r="A21" s="48">
        <v>4</v>
      </c>
      <c r="B21" s="49">
        <v>0.2</v>
      </c>
      <c r="C21" s="49">
        <v>0</v>
      </c>
      <c r="D21" s="49">
        <v>2.8</v>
      </c>
    </row>
    <row r="22" spans="1:4" ht="15">
      <c r="A22" s="48">
        <v>5</v>
      </c>
      <c r="B22" s="49">
        <v>0.2</v>
      </c>
      <c r="C22" s="49">
        <v>1</v>
      </c>
      <c r="D22" s="49">
        <v>10.199999999999999</v>
      </c>
    </row>
    <row r="23" spans="1:4" ht="15">
      <c r="A23" s="48">
        <v>6</v>
      </c>
      <c r="B23" s="49">
        <v>0.2</v>
      </c>
      <c r="C23" s="49">
        <v>0.3</v>
      </c>
      <c r="D23" s="49">
        <v>1.6</v>
      </c>
    </row>
    <row r="24" spans="1:4" ht="15">
      <c r="A24" s="48">
        <v>7</v>
      </c>
      <c r="B24" s="49">
        <v>0.2</v>
      </c>
      <c r="C24" s="49">
        <v>0</v>
      </c>
      <c r="D24" s="49">
        <v>4.5999999999999996</v>
      </c>
    </row>
    <row r="25" spans="1:4" ht="15">
      <c r="A25" s="48">
        <v>8</v>
      </c>
      <c r="B25" s="49">
        <v>0.2</v>
      </c>
      <c r="C25" s="49">
        <v>0</v>
      </c>
      <c r="D25" s="49">
        <v>0.6</v>
      </c>
    </row>
    <row r="26" spans="1:4" ht="15">
      <c r="A26" s="48">
        <v>9</v>
      </c>
      <c r="B26" s="49">
        <v>0</v>
      </c>
      <c r="C26" s="49">
        <v>0.3</v>
      </c>
      <c r="D26" s="49">
        <v>1.4</v>
      </c>
    </row>
    <row r="27" spans="1:4" ht="15">
      <c r="A27" s="48">
        <v>10</v>
      </c>
      <c r="B27" s="49">
        <v>0.2</v>
      </c>
      <c r="C27" s="49">
        <v>0</v>
      </c>
      <c r="D27" s="49">
        <v>0.8</v>
      </c>
    </row>
  </sheetData>
  <mergeCells count="5">
    <mergeCell ref="A2:C2"/>
    <mergeCell ref="A5:A6"/>
    <mergeCell ref="B5:D5"/>
    <mergeCell ref="A17:A18"/>
    <mergeCell ref="B17:D17"/>
  </mergeCells>
  <phoneticPr fontId="3" type="noConversion"/>
  <conditionalFormatting sqref="A7:D14">
    <cfRule type="notContainsBlanks" dxfId="5" priority="5">
      <formula>LEN(TRIM(A7))&gt;0</formula>
    </cfRule>
    <cfRule type="containsBlanks" dxfId="4" priority="6">
      <formula>LEN(TRIM(A7))=0</formula>
    </cfRule>
  </conditionalFormatting>
  <conditionalFormatting sqref="A19:D27">
    <cfRule type="notContainsBlanks" dxfId="3" priority="3">
      <formula>LEN(TRIM(A19))&gt;0</formula>
    </cfRule>
    <cfRule type="containsBlanks" dxfId="2" priority="4">
      <formula>LEN(TRIM(A19))=0</formula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84" orientation="portrait" r:id="rId1"/>
  <headerFooter>
    <oddHeader>&amp;C 1632MV7生物分析方法学验证数据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2:I27"/>
  <sheetViews>
    <sheetView topLeftCell="A4" zoomScaleNormal="100" zoomScaleSheetLayoutView="100" workbookViewId="0">
      <selection activeCell="H18" sqref="H18:H27"/>
    </sheetView>
  </sheetViews>
  <sheetFormatPr defaultColWidth="8.875" defaultRowHeight="13.5"/>
  <cols>
    <col min="1" max="1" width="9.875" style="6" customWidth="1"/>
    <col min="2" max="2" width="15.125" style="6" customWidth="1"/>
    <col min="3" max="3" width="14.75" style="6" customWidth="1"/>
    <col min="4" max="6" width="11.125" style="6" customWidth="1"/>
    <col min="7" max="7" width="15" style="6" customWidth="1"/>
    <col min="8" max="8" width="9.75" style="6" customWidth="1"/>
    <col min="9" max="9" width="11.875" style="6" customWidth="1"/>
    <col min="10" max="16384" width="8.875" style="6"/>
  </cols>
  <sheetData>
    <row r="2" spans="1:9" s="5" customFormat="1" ht="18" customHeight="1">
      <c r="A2" s="145" t="s">
        <v>49</v>
      </c>
      <c r="B2" s="145"/>
      <c r="C2" s="145"/>
    </row>
    <row r="3" spans="1:9" s="5" customFormat="1" ht="18" customHeight="1">
      <c r="A3" s="9"/>
      <c r="B3" s="9"/>
      <c r="C3" s="9"/>
    </row>
    <row r="4" spans="1:9" s="5" customFormat="1" ht="18" customHeight="1">
      <c r="A4" s="146" t="s">
        <v>179</v>
      </c>
      <c r="B4" s="146"/>
      <c r="C4" s="146"/>
    </row>
    <row r="5" spans="1:9" ht="70.5" customHeight="1">
      <c r="A5" s="20" t="s">
        <v>83</v>
      </c>
      <c r="B5" s="20" t="s">
        <v>44</v>
      </c>
      <c r="C5" s="20" t="s">
        <v>45</v>
      </c>
      <c r="D5" s="20" t="s">
        <v>102</v>
      </c>
      <c r="E5" s="20" t="s">
        <v>103</v>
      </c>
      <c r="F5" s="20" t="s">
        <v>104</v>
      </c>
      <c r="G5" s="20" t="s">
        <v>107</v>
      </c>
      <c r="H5" s="20" t="s">
        <v>65</v>
      </c>
      <c r="I5" s="20" t="s">
        <v>66</v>
      </c>
    </row>
    <row r="6" spans="1:9" ht="14.25" customHeight="1">
      <c r="A6" s="140">
        <v>2</v>
      </c>
      <c r="B6" s="20">
        <v>0</v>
      </c>
      <c r="C6" s="20">
        <v>0</v>
      </c>
      <c r="D6" s="20">
        <v>8423</v>
      </c>
      <c r="E6" s="20">
        <v>465317</v>
      </c>
      <c r="F6" s="142">
        <f>ROUND(AVERAGE(D6:D7),0)</f>
        <v>8413</v>
      </c>
      <c r="G6" s="140">
        <f>ROUND(AVERAGE(E6:E7),0)</f>
        <v>459114</v>
      </c>
      <c r="H6" s="50">
        <f>ROUND(B6/F6*100,1)</f>
        <v>0</v>
      </c>
      <c r="I6" s="50">
        <f>ROUND(C6/G6*100,1)</f>
        <v>0</v>
      </c>
    </row>
    <row r="7" spans="1:9" ht="14.25" customHeight="1">
      <c r="A7" s="141"/>
      <c r="B7" s="20">
        <v>0</v>
      </c>
      <c r="C7" s="20">
        <v>0</v>
      </c>
      <c r="D7" s="20">
        <v>8403</v>
      </c>
      <c r="E7" s="20">
        <v>452911</v>
      </c>
      <c r="F7" s="143"/>
      <c r="G7" s="141"/>
      <c r="H7" s="50">
        <f>ROUND(B7/F6*100,1)</f>
        <v>0</v>
      </c>
      <c r="I7" s="50">
        <f>ROUND(C7/G6*100,1)</f>
        <v>0</v>
      </c>
    </row>
    <row r="8" spans="1:9" ht="14.25" customHeight="1">
      <c r="A8" s="140">
        <v>4</v>
      </c>
      <c r="B8" s="20">
        <v>0</v>
      </c>
      <c r="C8" s="20">
        <v>0</v>
      </c>
      <c r="D8" s="20">
        <v>6329</v>
      </c>
      <c r="E8" s="20">
        <v>395427</v>
      </c>
      <c r="F8" s="142">
        <f>ROUND(AVERAGE(D8:D9),0)</f>
        <v>6049</v>
      </c>
      <c r="G8" s="140">
        <f>ROUND(AVERAGE(E8:E9),0)</f>
        <v>388584</v>
      </c>
      <c r="H8" s="50">
        <f>ROUND(B8/F8*100,1)</f>
        <v>0</v>
      </c>
      <c r="I8" s="50">
        <f>ROUND(C8/G8*100,1)</f>
        <v>0</v>
      </c>
    </row>
    <row r="9" spans="1:9" ht="14.25" customHeight="1">
      <c r="A9" s="141"/>
      <c r="B9" s="20">
        <v>0</v>
      </c>
      <c r="C9" s="20">
        <v>0</v>
      </c>
      <c r="D9" s="20">
        <v>5768</v>
      </c>
      <c r="E9" s="20">
        <v>381741</v>
      </c>
      <c r="F9" s="143"/>
      <c r="G9" s="141"/>
      <c r="H9" s="50">
        <f>ROUND(B9/F8*100,1)</f>
        <v>0</v>
      </c>
      <c r="I9" s="50">
        <f>ROUND(C9/G8*100,1)</f>
        <v>0</v>
      </c>
    </row>
    <row r="10" spans="1:9" ht="14.25" customHeight="1">
      <c r="A10" s="140">
        <v>7</v>
      </c>
      <c r="B10" s="20">
        <v>0</v>
      </c>
      <c r="C10" s="20">
        <v>0</v>
      </c>
      <c r="D10" s="20">
        <v>11218</v>
      </c>
      <c r="E10" s="20">
        <v>632158</v>
      </c>
      <c r="F10" s="142">
        <f>ROUND(AVERAGE(D10:D11),0)</f>
        <v>10430</v>
      </c>
      <c r="G10" s="140">
        <f>ROUND(AVERAGE(E10:E11),0)</f>
        <v>601318</v>
      </c>
      <c r="H10" s="50">
        <f>ROUND(B10/F10*100,1)</f>
        <v>0</v>
      </c>
      <c r="I10" s="50">
        <f>ROUND(C10/G10*100,1)</f>
        <v>0</v>
      </c>
    </row>
    <row r="11" spans="1:9" ht="14.25" customHeight="1">
      <c r="A11" s="141"/>
      <c r="B11" s="20">
        <v>0</v>
      </c>
      <c r="C11" s="20">
        <v>0</v>
      </c>
      <c r="D11" s="20">
        <v>9642</v>
      </c>
      <c r="E11" s="20">
        <v>570478</v>
      </c>
      <c r="F11" s="143"/>
      <c r="G11" s="141"/>
      <c r="H11" s="50">
        <f>ROUND(B11/F10*100,1)</f>
        <v>0</v>
      </c>
      <c r="I11" s="50">
        <f>ROUND(C11/G10*100,1)</f>
        <v>0</v>
      </c>
    </row>
    <row r="12" spans="1:9" ht="14.25" customHeight="1">
      <c r="A12" s="140">
        <v>10</v>
      </c>
      <c r="B12" s="20">
        <v>0</v>
      </c>
      <c r="C12" s="20">
        <v>0</v>
      </c>
      <c r="D12" s="20">
        <v>10166</v>
      </c>
      <c r="E12" s="20">
        <v>567422</v>
      </c>
      <c r="F12" s="142">
        <f>ROUND(AVERAGE(D12:D13),0)</f>
        <v>10195</v>
      </c>
      <c r="G12" s="140">
        <f>ROUND(AVERAGE(E12:E13),0)</f>
        <v>578516</v>
      </c>
      <c r="H12" s="50">
        <f>ROUND(B12/F12*100,1)</f>
        <v>0</v>
      </c>
      <c r="I12" s="50">
        <f>ROUND(C12/G12*100,1)</f>
        <v>0</v>
      </c>
    </row>
    <row r="13" spans="1:9" ht="14.25" customHeight="1">
      <c r="A13" s="141"/>
      <c r="B13" s="20">
        <v>0</v>
      </c>
      <c r="C13" s="20">
        <v>0</v>
      </c>
      <c r="D13" s="20">
        <v>10223</v>
      </c>
      <c r="E13" s="20">
        <v>589610</v>
      </c>
      <c r="F13" s="143"/>
      <c r="G13" s="141"/>
      <c r="H13" s="50">
        <f>ROUND(B13/F12*100,1)</f>
        <v>0</v>
      </c>
      <c r="I13" s="50">
        <f>ROUND(C13/G12*100,1)</f>
        <v>0</v>
      </c>
    </row>
    <row r="14" spans="1:9">
      <c r="B14" s="8"/>
    </row>
    <row r="16" spans="1:9">
      <c r="A16" s="144" t="s">
        <v>181</v>
      </c>
      <c r="B16" s="144"/>
      <c r="C16" s="144"/>
    </row>
    <row r="17" spans="1:9" ht="70.5" customHeight="1">
      <c r="A17" s="20" t="s">
        <v>83</v>
      </c>
      <c r="B17" s="20" t="s">
        <v>44</v>
      </c>
      <c r="C17" s="20" t="s">
        <v>45</v>
      </c>
      <c r="D17" s="20" t="s">
        <v>102</v>
      </c>
      <c r="E17" s="20" t="s">
        <v>103</v>
      </c>
      <c r="F17" s="20" t="s">
        <v>104</v>
      </c>
      <c r="G17" s="20" t="s">
        <v>107</v>
      </c>
      <c r="H17" s="20" t="s">
        <v>150</v>
      </c>
      <c r="I17" s="20" t="s">
        <v>66</v>
      </c>
    </row>
    <row r="18" spans="1:9" ht="15" customHeight="1">
      <c r="A18" s="140">
        <v>2</v>
      </c>
      <c r="B18" s="51">
        <v>563</v>
      </c>
      <c r="C18" s="51">
        <v>0</v>
      </c>
      <c r="D18" s="51">
        <v>5664</v>
      </c>
      <c r="E18" s="51">
        <v>465317</v>
      </c>
      <c r="F18" s="142">
        <f>ROUND(AVERAGE(D18:D19),0)</f>
        <v>5879</v>
      </c>
      <c r="G18" s="140">
        <f>ROUND(AVERAGE(E18:E19),0)</f>
        <v>459114</v>
      </c>
      <c r="H18" s="50">
        <f>ROUND(B18/F18*100,1)</f>
        <v>9.6</v>
      </c>
      <c r="I18" s="50">
        <f>ROUND(C18/G18*100,1)</f>
        <v>0</v>
      </c>
    </row>
    <row r="19" spans="1:9" ht="15" customHeight="1">
      <c r="A19" s="141"/>
      <c r="B19" s="51">
        <v>713</v>
      </c>
      <c r="C19" s="51">
        <v>0</v>
      </c>
      <c r="D19" s="51">
        <v>6093</v>
      </c>
      <c r="E19" s="51">
        <v>452911</v>
      </c>
      <c r="F19" s="143"/>
      <c r="G19" s="141"/>
      <c r="H19" s="50">
        <f>ROUND(B19/F18*100,1)</f>
        <v>12.1</v>
      </c>
      <c r="I19" s="50">
        <f>ROUND(C19/G18*100,1)</f>
        <v>0</v>
      </c>
    </row>
    <row r="20" spans="1:9" ht="15" customHeight="1">
      <c r="A20" s="140">
        <v>4</v>
      </c>
      <c r="B20" s="51">
        <v>459</v>
      </c>
      <c r="C20" s="51">
        <v>0</v>
      </c>
      <c r="D20" s="51">
        <v>4053</v>
      </c>
      <c r="E20" s="51">
        <v>395427</v>
      </c>
      <c r="F20" s="142">
        <f>ROUND(AVERAGE(D20:D21),0)</f>
        <v>4319</v>
      </c>
      <c r="G20" s="140">
        <f>ROUND(AVERAGE(E20:E21),0)</f>
        <v>388584</v>
      </c>
      <c r="H20" s="50">
        <f>ROUND(B20/F20*100,1)</f>
        <v>10.6</v>
      </c>
      <c r="I20" s="50">
        <f>ROUND(C20/G20*100,1)</f>
        <v>0</v>
      </c>
    </row>
    <row r="21" spans="1:9" ht="15" customHeight="1">
      <c r="A21" s="141"/>
      <c r="B21" s="51">
        <v>449</v>
      </c>
      <c r="C21" s="51">
        <v>0</v>
      </c>
      <c r="D21" s="51">
        <v>4585</v>
      </c>
      <c r="E21" s="51">
        <v>381741</v>
      </c>
      <c r="F21" s="143"/>
      <c r="G21" s="141"/>
      <c r="H21" s="50">
        <f>ROUND(B21/F20*100,1)</f>
        <v>10.4</v>
      </c>
      <c r="I21" s="50">
        <f>ROUND(C21/G20*100,1)</f>
        <v>0</v>
      </c>
    </row>
    <row r="22" spans="1:9" ht="15" customHeight="1">
      <c r="A22" s="140">
        <v>7</v>
      </c>
      <c r="B22" s="51">
        <v>1156</v>
      </c>
      <c r="C22" s="51">
        <v>0</v>
      </c>
      <c r="D22" s="51">
        <v>8645</v>
      </c>
      <c r="E22" s="51">
        <v>632158</v>
      </c>
      <c r="F22" s="142">
        <f>ROUND(AVERAGE(D22:D23),0)</f>
        <v>8902</v>
      </c>
      <c r="G22" s="140">
        <f>ROUND(AVERAGE(E22:E23),0)</f>
        <v>601318</v>
      </c>
      <c r="H22" s="50">
        <f>ROUND(B22/F22*100,1)</f>
        <v>13</v>
      </c>
      <c r="I22" s="50">
        <f>ROUND(C22/G22*100,1)</f>
        <v>0</v>
      </c>
    </row>
    <row r="23" spans="1:9" ht="15" customHeight="1">
      <c r="A23" s="141"/>
      <c r="B23" s="51">
        <v>842</v>
      </c>
      <c r="C23" s="51">
        <v>0</v>
      </c>
      <c r="D23" s="51">
        <v>9158</v>
      </c>
      <c r="E23" s="51">
        <v>570478</v>
      </c>
      <c r="F23" s="143"/>
      <c r="G23" s="141"/>
      <c r="H23" s="50">
        <f>ROUND(B23/F22*100,1)</f>
        <v>9.5</v>
      </c>
      <c r="I23" s="50">
        <f>ROUND(C23/G22*100,1)</f>
        <v>0</v>
      </c>
    </row>
    <row r="24" spans="1:9" ht="15" customHeight="1">
      <c r="A24" s="140">
        <v>8</v>
      </c>
      <c r="B24" s="51">
        <v>734</v>
      </c>
      <c r="C24" s="51">
        <v>0</v>
      </c>
      <c r="D24" s="51">
        <v>6185</v>
      </c>
      <c r="E24" s="51">
        <v>461437</v>
      </c>
      <c r="F24" s="142">
        <f>AVERAGE(D24:D25)</f>
        <v>6412</v>
      </c>
      <c r="G24" s="140">
        <f>ROUND(AVERAGE(E24:E25),0)</f>
        <v>454119</v>
      </c>
      <c r="H24" s="50">
        <f>ROUND(B24/F24*100,1)</f>
        <v>11.4</v>
      </c>
      <c r="I24" s="50">
        <f>ROUND(C24/G24*100,1)</f>
        <v>0</v>
      </c>
    </row>
    <row r="25" spans="1:9" ht="15" customHeight="1">
      <c r="A25" s="141"/>
      <c r="B25" s="51">
        <v>773</v>
      </c>
      <c r="C25" s="51">
        <v>0</v>
      </c>
      <c r="D25" s="51">
        <v>6639</v>
      </c>
      <c r="E25" s="51">
        <v>446800</v>
      </c>
      <c r="F25" s="143"/>
      <c r="G25" s="141"/>
      <c r="H25" s="50">
        <f>ROUND(B25/F24*100,1)</f>
        <v>12.1</v>
      </c>
      <c r="I25" s="50">
        <f>ROUND(C25/G24*100,1)</f>
        <v>0</v>
      </c>
    </row>
    <row r="26" spans="1:9" ht="15">
      <c r="A26" s="140">
        <v>10</v>
      </c>
      <c r="B26" s="51">
        <v>743</v>
      </c>
      <c r="C26" s="51">
        <v>0</v>
      </c>
      <c r="D26" s="51">
        <v>10182</v>
      </c>
      <c r="E26" s="51">
        <v>567422</v>
      </c>
      <c r="F26" s="142">
        <f>AVERAGE(D26:D27)</f>
        <v>10204.5</v>
      </c>
      <c r="G26" s="140">
        <f>ROUND(AVERAGE(E26:E27),0)</f>
        <v>578516</v>
      </c>
      <c r="H26" s="50">
        <f>ROUND(B26/F26*100,1)</f>
        <v>7.3</v>
      </c>
      <c r="I26" s="50">
        <f>ROUND(C26/G26*100,1)</f>
        <v>0</v>
      </c>
    </row>
    <row r="27" spans="1:9" ht="15">
      <c r="A27" s="141"/>
      <c r="B27" s="51">
        <v>716</v>
      </c>
      <c r="C27" s="51">
        <v>0</v>
      </c>
      <c r="D27" s="51">
        <v>10227</v>
      </c>
      <c r="E27" s="51">
        <v>589610</v>
      </c>
      <c r="F27" s="143"/>
      <c r="G27" s="141"/>
      <c r="H27" s="50">
        <f>ROUND(B27/F26*100,1)</f>
        <v>7</v>
      </c>
      <c r="I27" s="50">
        <f>ROUND(C27/G26*100,1)</f>
        <v>0</v>
      </c>
    </row>
  </sheetData>
  <mergeCells count="30">
    <mergeCell ref="A12:A13"/>
    <mergeCell ref="A2:C2"/>
    <mergeCell ref="A4:C4"/>
    <mergeCell ref="A6:A7"/>
    <mergeCell ref="A8:A9"/>
    <mergeCell ref="A10:A11"/>
    <mergeCell ref="F12:F13"/>
    <mergeCell ref="G6:G7"/>
    <mergeCell ref="G8:G9"/>
    <mergeCell ref="G10:G11"/>
    <mergeCell ref="G12:G13"/>
    <mergeCell ref="F6:F7"/>
    <mergeCell ref="F8:F9"/>
    <mergeCell ref="F10:F11"/>
    <mergeCell ref="A26:A27"/>
    <mergeCell ref="F26:F27"/>
    <mergeCell ref="G26:G27"/>
    <mergeCell ref="A16:C16"/>
    <mergeCell ref="A24:A25"/>
    <mergeCell ref="F24:F25"/>
    <mergeCell ref="G24:G25"/>
    <mergeCell ref="A20:A21"/>
    <mergeCell ref="F20:F21"/>
    <mergeCell ref="G20:G21"/>
    <mergeCell ref="A18:A19"/>
    <mergeCell ref="F18:F19"/>
    <mergeCell ref="G18:G19"/>
    <mergeCell ref="A22:A23"/>
    <mergeCell ref="F22:F23"/>
    <mergeCell ref="G22:G23"/>
  </mergeCells>
  <phoneticPr fontId="3" type="noConversion"/>
  <conditionalFormatting sqref="B18:E27">
    <cfRule type="notContainsBlanks" dxfId="1" priority="3">
      <formula>LEN(TRIM(B18))&gt;0</formula>
    </cfRule>
    <cfRule type="containsBlanks" dxfId="0" priority="4">
      <formula>LEN(TRIM(B18))=0</formula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76" orientation="portrait" r:id="rId1"/>
  <headerFooter>
    <oddHeader>&amp;C 1632MV7生物分析方法学验证数据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2:P30"/>
  <sheetViews>
    <sheetView topLeftCell="A7" zoomScaleNormal="100" zoomScaleSheetLayoutView="100" zoomScalePageLayoutView="90" workbookViewId="0">
      <selection activeCell="N37" sqref="N37"/>
    </sheetView>
  </sheetViews>
  <sheetFormatPr defaultColWidth="8.875" defaultRowHeight="13.5"/>
  <cols>
    <col min="1" max="1" width="12.5" style="6" customWidth="1"/>
    <col min="2" max="2" width="13.875" style="6" customWidth="1"/>
    <col min="3" max="3" width="12.25" style="6" customWidth="1"/>
    <col min="4" max="4" width="12.375" style="6" customWidth="1"/>
    <col min="5" max="5" width="9.375" style="6" customWidth="1"/>
    <col min="6" max="6" width="12.125" style="6" customWidth="1"/>
    <col min="7" max="7" width="13" style="6" customWidth="1"/>
    <col min="8" max="8" width="8.875" style="6"/>
    <col min="9" max="9" width="12.5" style="6" customWidth="1"/>
    <col min="10" max="10" width="9" style="6" bestFit="1" customWidth="1"/>
    <col min="11" max="12" width="9.125" style="6" bestFit="1" customWidth="1"/>
    <col min="13" max="13" width="9" style="6" bestFit="1" customWidth="1"/>
    <col min="14" max="14" width="11.875" style="6" customWidth="1"/>
    <col min="15" max="15" width="11.5" style="6" customWidth="1"/>
    <col min="16" max="16384" width="8.875" style="6"/>
  </cols>
  <sheetData>
    <row r="2" spans="1:15" ht="15.75" customHeight="1">
      <c r="A2" s="133" t="s">
        <v>57</v>
      </c>
      <c r="B2" s="133"/>
      <c r="C2" s="133"/>
      <c r="D2" s="133"/>
    </row>
    <row r="3" spans="1:15" ht="15.75" customHeight="1">
      <c r="A3" s="8"/>
      <c r="B3" s="8"/>
      <c r="C3" s="8"/>
      <c r="D3" s="8"/>
    </row>
    <row r="4" spans="1:15" ht="15.75" customHeight="1">
      <c r="A4" s="148" t="s">
        <v>106</v>
      </c>
      <c r="B4" s="133"/>
      <c r="C4" s="133"/>
      <c r="D4" s="133"/>
      <c r="I4" s="148" t="s">
        <v>105</v>
      </c>
      <c r="J4" s="133"/>
      <c r="K4" s="133"/>
      <c r="L4" s="133"/>
    </row>
    <row r="5" spans="1:15" ht="15.75" customHeight="1">
      <c r="A5" s="146" t="s">
        <v>179</v>
      </c>
      <c r="B5" s="146"/>
      <c r="C5" s="146"/>
      <c r="D5" s="8"/>
      <c r="I5" s="146" t="s">
        <v>179</v>
      </c>
      <c r="J5" s="146"/>
      <c r="K5" s="146"/>
    </row>
    <row r="6" spans="1:15" s="12" customFormat="1" ht="30" customHeight="1">
      <c r="A6" s="20" t="s">
        <v>183</v>
      </c>
      <c r="B6" s="20" t="s">
        <v>83</v>
      </c>
      <c r="C6" s="20" t="s">
        <v>184</v>
      </c>
      <c r="D6" s="20" t="s">
        <v>185</v>
      </c>
      <c r="E6" s="20" t="s">
        <v>186</v>
      </c>
      <c r="F6" s="20" t="s">
        <v>187</v>
      </c>
      <c r="G6" s="20" t="s">
        <v>188</v>
      </c>
      <c r="I6" s="20" t="s">
        <v>183</v>
      </c>
      <c r="J6" s="20" t="s">
        <v>83</v>
      </c>
      <c r="K6" s="20" t="s">
        <v>184</v>
      </c>
      <c r="L6" s="20" t="s">
        <v>185</v>
      </c>
      <c r="M6" s="20" t="s">
        <v>186</v>
      </c>
      <c r="N6" s="20" t="s">
        <v>187</v>
      </c>
      <c r="O6" s="20" t="s">
        <v>188</v>
      </c>
    </row>
    <row r="7" spans="1:15" s="12" customFormat="1" ht="16.5" customHeight="1">
      <c r="A7" s="52">
        <v>45903</v>
      </c>
      <c r="B7" s="39">
        <v>2</v>
      </c>
      <c r="C7" s="53">
        <v>3.1419999999999998E-3</v>
      </c>
      <c r="D7" s="53">
        <v>3.1800000000000001E-3</v>
      </c>
      <c r="E7" s="54">
        <v>0.99639999999999995</v>
      </c>
      <c r="F7" s="55">
        <v>4.63</v>
      </c>
      <c r="G7" s="55">
        <v>4629.8050000000003</v>
      </c>
      <c r="I7" s="52">
        <v>45902</v>
      </c>
      <c r="J7" s="39">
        <v>1</v>
      </c>
      <c r="K7" s="53">
        <v>2.7269999999999998E-3</v>
      </c>
      <c r="L7" s="53">
        <v>5.1510000000000002E-3</v>
      </c>
      <c r="M7" s="54">
        <v>0.99570000000000003</v>
      </c>
      <c r="N7" s="55">
        <v>4.63</v>
      </c>
      <c r="O7" s="55">
        <v>4629.8050000000003</v>
      </c>
    </row>
    <row r="8" spans="1:15" s="12" customFormat="1" ht="16.5" customHeight="1">
      <c r="A8" s="52">
        <v>45905</v>
      </c>
      <c r="B8" s="39">
        <v>4</v>
      </c>
      <c r="C8" s="53">
        <v>3.0100000000000001E-3</v>
      </c>
      <c r="D8" s="53">
        <v>1.766E-3</v>
      </c>
      <c r="E8" s="54">
        <v>0.99350000000000005</v>
      </c>
      <c r="F8" s="55">
        <v>4.63</v>
      </c>
      <c r="G8" s="55">
        <v>4629.8050000000003</v>
      </c>
      <c r="I8" s="20" t="s">
        <v>189</v>
      </c>
      <c r="J8" s="147"/>
      <c r="K8" s="53">
        <v>2.7269999999999998E-3</v>
      </c>
      <c r="L8" s="53">
        <v>5.1510000000000002E-3</v>
      </c>
      <c r="M8" s="54">
        <v>0.99570000000000003</v>
      </c>
      <c r="N8" s="147"/>
      <c r="O8" s="147"/>
    </row>
    <row r="9" spans="1:15" s="12" customFormat="1" ht="16.5" customHeight="1">
      <c r="A9" s="52">
        <v>45909</v>
      </c>
      <c r="B9" s="39">
        <v>7</v>
      </c>
      <c r="C9" s="53">
        <v>3.5040000000000002E-3</v>
      </c>
      <c r="D9" s="53">
        <v>1.0510000000000001E-3</v>
      </c>
      <c r="E9" s="54">
        <v>0.99839999999999995</v>
      </c>
      <c r="F9" s="55">
        <v>4.63</v>
      </c>
      <c r="G9" s="55">
        <v>4629.8050000000003</v>
      </c>
      <c r="I9" s="20" t="s">
        <v>3</v>
      </c>
      <c r="J9" s="147"/>
      <c r="K9" s="58"/>
      <c r="L9" s="59"/>
      <c r="M9" s="60"/>
      <c r="N9" s="147"/>
      <c r="O9" s="147"/>
    </row>
    <row r="10" spans="1:15" s="12" customFormat="1" ht="16.5" customHeight="1">
      <c r="A10" s="52">
        <v>45990</v>
      </c>
      <c r="B10" s="39">
        <v>10</v>
      </c>
      <c r="C10" s="53">
        <v>3.7000000000000002E-3</v>
      </c>
      <c r="D10" s="56">
        <v>5.5500000000000005E-4</v>
      </c>
      <c r="E10" s="54">
        <v>0.99939999999999996</v>
      </c>
      <c r="F10" s="55">
        <v>4.63</v>
      </c>
      <c r="G10" s="55">
        <v>4629.8050000000003</v>
      </c>
      <c r="I10" s="20" t="s">
        <v>61</v>
      </c>
      <c r="J10" s="147"/>
      <c r="K10" s="61"/>
      <c r="L10" s="61"/>
      <c r="M10" s="61"/>
      <c r="N10" s="147"/>
      <c r="O10" s="147"/>
    </row>
    <row r="11" spans="1:15" s="12" customFormat="1" ht="16.5" customHeight="1">
      <c r="A11" s="20" t="s">
        <v>189</v>
      </c>
      <c r="B11" s="147"/>
      <c r="C11" s="53">
        <v>3.339E-3</v>
      </c>
      <c r="D11" s="53">
        <v>1.6379999999999999E-3</v>
      </c>
      <c r="E11" s="54">
        <v>0.99690000000000001</v>
      </c>
      <c r="F11" s="147"/>
      <c r="G11" s="147"/>
      <c r="I11" s="20" t="s">
        <v>4</v>
      </c>
      <c r="J11" s="147"/>
      <c r="K11" s="39">
        <v>1</v>
      </c>
      <c r="L11" s="39">
        <v>1</v>
      </c>
      <c r="M11" s="39">
        <v>1</v>
      </c>
      <c r="N11" s="147"/>
      <c r="O11" s="147"/>
    </row>
    <row r="12" spans="1:15" s="12" customFormat="1" ht="16.5" customHeight="1">
      <c r="A12" s="20" t="s">
        <v>3</v>
      </c>
      <c r="B12" s="147"/>
      <c r="C12" s="56">
        <v>3.1859999999999999E-4</v>
      </c>
      <c r="D12" s="53">
        <v>1.142E-3</v>
      </c>
      <c r="E12" s="54">
        <v>2.5999999999999999E-3</v>
      </c>
      <c r="F12" s="147"/>
      <c r="G12" s="147"/>
      <c r="I12" s="6" t="s">
        <v>58</v>
      </c>
      <c r="J12" s="6"/>
      <c r="K12" s="6"/>
      <c r="L12" s="6"/>
      <c r="M12" s="6"/>
      <c r="N12" s="6"/>
      <c r="O12" s="6"/>
    </row>
    <row r="13" spans="1:15" s="12" customFormat="1" ht="16.5" customHeight="1">
      <c r="A13" s="20" t="s">
        <v>61</v>
      </c>
      <c r="B13" s="147"/>
      <c r="C13" s="57">
        <v>9.5</v>
      </c>
      <c r="D13" s="57">
        <v>69.7</v>
      </c>
      <c r="E13" s="57">
        <v>0.3</v>
      </c>
      <c r="F13" s="147"/>
      <c r="G13" s="147"/>
      <c r="I13" s="62" t="s">
        <v>191</v>
      </c>
      <c r="J13" s="6"/>
      <c r="K13" s="6"/>
      <c r="L13" s="6"/>
      <c r="M13" s="6"/>
      <c r="N13" s="6"/>
      <c r="O13" s="6"/>
    </row>
    <row r="14" spans="1:15" s="12" customFormat="1" ht="16.5" customHeight="1">
      <c r="A14" s="20" t="s">
        <v>4</v>
      </c>
      <c r="B14" s="147"/>
      <c r="C14" s="39">
        <v>4</v>
      </c>
      <c r="D14" s="39">
        <v>4</v>
      </c>
      <c r="E14" s="39">
        <v>4</v>
      </c>
      <c r="F14" s="147"/>
      <c r="G14" s="147"/>
    </row>
    <row r="15" spans="1:15">
      <c r="A15" s="6" t="s">
        <v>58</v>
      </c>
    </row>
    <row r="17" spans="1:16">
      <c r="A17" s="148" t="s">
        <v>106</v>
      </c>
      <c r="B17" s="133"/>
      <c r="C17" s="133"/>
      <c r="D17" s="133"/>
      <c r="I17" s="148" t="s">
        <v>105</v>
      </c>
      <c r="J17" s="133"/>
      <c r="K17" s="133"/>
      <c r="L17" s="133"/>
    </row>
    <row r="18" spans="1:16">
      <c r="A18" s="148" t="s">
        <v>190</v>
      </c>
      <c r="B18" s="133"/>
      <c r="C18" s="133"/>
      <c r="D18" s="133"/>
      <c r="I18" s="146" t="s">
        <v>190</v>
      </c>
      <c r="J18" s="146"/>
      <c r="K18" s="146"/>
    </row>
    <row r="19" spans="1:16" s="12" customFormat="1" ht="30" customHeight="1">
      <c r="A19" s="20" t="s">
        <v>183</v>
      </c>
      <c r="B19" s="20" t="s">
        <v>83</v>
      </c>
      <c r="C19" s="20" t="s">
        <v>184</v>
      </c>
      <c r="D19" s="20" t="s">
        <v>185</v>
      </c>
      <c r="E19" s="20" t="s">
        <v>186</v>
      </c>
      <c r="F19" s="20" t="s">
        <v>187</v>
      </c>
      <c r="G19" s="20" t="s">
        <v>188</v>
      </c>
      <c r="I19" s="20" t="s">
        <v>183</v>
      </c>
      <c r="J19" s="20" t="s">
        <v>83</v>
      </c>
      <c r="K19" s="20" t="s">
        <v>184</v>
      </c>
      <c r="L19" s="20" t="s">
        <v>185</v>
      </c>
      <c r="M19" s="20" t="s">
        <v>186</v>
      </c>
      <c r="N19" s="20" t="s">
        <v>187</v>
      </c>
      <c r="O19" s="20" t="s">
        <v>188</v>
      </c>
      <c r="P19" s="6"/>
    </row>
    <row r="20" spans="1:16" s="12" customFormat="1" ht="16.5" customHeight="1">
      <c r="A20" s="52">
        <v>45903</v>
      </c>
      <c r="B20" s="39">
        <v>2</v>
      </c>
      <c r="C20" s="53">
        <v>2.0010000000000002E-3</v>
      </c>
      <c r="D20" s="53">
        <v>1.82E-3</v>
      </c>
      <c r="E20" s="54">
        <v>0.99660000000000004</v>
      </c>
      <c r="F20" s="55">
        <v>5.37</v>
      </c>
      <c r="G20" s="55">
        <v>5370.1679999999997</v>
      </c>
      <c r="I20" s="52">
        <v>45902</v>
      </c>
      <c r="J20" s="39">
        <v>1</v>
      </c>
      <c r="K20" s="53">
        <v>1.681E-3</v>
      </c>
      <c r="L20" s="53">
        <v>2.3530000000000001E-3</v>
      </c>
      <c r="M20" s="54">
        <v>0.98950000000000005</v>
      </c>
      <c r="N20" s="55">
        <v>5.37</v>
      </c>
      <c r="O20" s="55">
        <v>5370.1679999999997</v>
      </c>
    </row>
    <row r="21" spans="1:16" s="12" customFormat="1" ht="16.5" customHeight="1">
      <c r="A21" s="52">
        <v>45905</v>
      </c>
      <c r="B21" s="39">
        <v>4</v>
      </c>
      <c r="C21" s="53">
        <v>1.7409999999999999E-3</v>
      </c>
      <c r="D21" s="53">
        <v>1.9400000000000001E-3</v>
      </c>
      <c r="E21" s="54">
        <v>0.98880000000000001</v>
      </c>
      <c r="F21" s="55">
        <v>5.37</v>
      </c>
      <c r="G21" s="55">
        <v>5370.1679999999997</v>
      </c>
      <c r="I21" s="20" t="s">
        <v>189</v>
      </c>
      <c r="J21" s="147"/>
      <c r="K21" s="53">
        <v>1.681E-3</v>
      </c>
      <c r="L21" s="53">
        <v>2.3530000000000001E-3</v>
      </c>
      <c r="M21" s="54">
        <v>0.98950000000000005</v>
      </c>
      <c r="N21" s="147"/>
      <c r="O21" s="147"/>
    </row>
    <row r="22" spans="1:16" s="12" customFormat="1" ht="16.5" customHeight="1">
      <c r="A22" s="52">
        <v>45909</v>
      </c>
      <c r="B22" s="39">
        <v>7</v>
      </c>
      <c r="C22" s="53">
        <v>2.3419999999999999E-3</v>
      </c>
      <c r="D22" s="53">
        <v>2.4169999999999999E-3</v>
      </c>
      <c r="E22" s="54">
        <v>0.99719999999999998</v>
      </c>
      <c r="F22" s="55">
        <v>5.37</v>
      </c>
      <c r="G22" s="55">
        <v>5370.1679999999997</v>
      </c>
      <c r="I22" s="20" t="s">
        <v>3</v>
      </c>
      <c r="J22" s="147"/>
      <c r="K22" s="58"/>
      <c r="L22" s="59"/>
      <c r="M22" s="60"/>
      <c r="N22" s="147"/>
      <c r="O22" s="147"/>
    </row>
    <row r="23" spans="1:16" s="12" customFormat="1" ht="16.5" customHeight="1">
      <c r="A23" s="52">
        <v>45912</v>
      </c>
      <c r="B23" s="39">
        <v>8</v>
      </c>
      <c r="C23" s="53">
        <v>2.408E-3</v>
      </c>
      <c r="D23" s="53">
        <v>1.493E-3</v>
      </c>
      <c r="E23" s="54">
        <v>0.99770000000000003</v>
      </c>
      <c r="F23" s="55">
        <v>5.37</v>
      </c>
      <c r="G23" s="55">
        <v>5370.1679999999997</v>
      </c>
      <c r="I23" s="20" t="s">
        <v>61</v>
      </c>
      <c r="J23" s="147"/>
      <c r="K23" s="61"/>
      <c r="L23" s="61"/>
      <c r="M23" s="61"/>
      <c r="N23" s="147"/>
      <c r="O23" s="147"/>
    </row>
    <row r="24" spans="1:16" s="12" customFormat="1" ht="16.5" customHeight="1">
      <c r="A24" s="52">
        <v>45990</v>
      </c>
      <c r="B24" s="39">
        <v>10</v>
      </c>
      <c r="C24" s="53">
        <v>2.9780000000000002E-3</v>
      </c>
      <c r="D24" s="53">
        <v>1.7899999999999999E-3</v>
      </c>
      <c r="E24" s="54">
        <v>0.99739999999999995</v>
      </c>
      <c r="F24" s="55">
        <v>5.37</v>
      </c>
      <c r="G24" s="55">
        <v>5370.1679999999997</v>
      </c>
      <c r="I24" s="20" t="s">
        <v>4</v>
      </c>
      <c r="J24" s="147"/>
      <c r="K24" s="39">
        <v>1</v>
      </c>
      <c r="L24" s="39">
        <v>1</v>
      </c>
      <c r="M24" s="39">
        <v>1</v>
      </c>
      <c r="N24" s="147"/>
      <c r="O24" s="147"/>
    </row>
    <row r="25" spans="1:16" s="12" customFormat="1" ht="16.5" customHeight="1">
      <c r="A25" s="20" t="s">
        <v>189</v>
      </c>
      <c r="B25" s="147"/>
      <c r="C25" s="53">
        <v>2.294E-3</v>
      </c>
      <c r="D25" s="53">
        <v>1.892E-3</v>
      </c>
      <c r="E25" s="54">
        <v>0.99550000000000005</v>
      </c>
      <c r="F25" s="147"/>
      <c r="G25" s="147"/>
      <c r="I25" s="6" t="s">
        <v>58</v>
      </c>
      <c r="J25" s="6"/>
      <c r="K25" s="6"/>
      <c r="L25" s="6"/>
      <c r="M25" s="6"/>
      <c r="N25" s="6"/>
      <c r="O25" s="6"/>
    </row>
    <row r="26" spans="1:16" s="12" customFormat="1" ht="16.5" customHeight="1">
      <c r="A26" s="20" t="s">
        <v>3</v>
      </c>
      <c r="B26" s="147"/>
      <c r="C26" s="56">
        <v>4.6769999999999998E-4</v>
      </c>
      <c r="D26" s="56">
        <v>3.3639999999999999E-4</v>
      </c>
      <c r="E26" s="54">
        <v>3.8E-3</v>
      </c>
      <c r="F26" s="147"/>
      <c r="G26" s="147"/>
      <c r="I26" s="62" t="s">
        <v>191</v>
      </c>
      <c r="J26" s="6"/>
      <c r="K26" s="6"/>
      <c r="L26" s="6"/>
      <c r="M26" s="6"/>
      <c r="N26" s="6"/>
      <c r="O26" s="6"/>
    </row>
    <row r="27" spans="1:16" s="12" customFormat="1" ht="16.5" customHeight="1">
      <c r="A27" s="20" t="s">
        <v>61</v>
      </c>
      <c r="B27" s="147"/>
      <c r="C27" s="57">
        <v>20.399999999999999</v>
      </c>
      <c r="D27" s="57">
        <v>17.8</v>
      </c>
      <c r="E27" s="57">
        <v>0.4</v>
      </c>
      <c r="F27" s="147"/>
      <c r="G27" s="147"/>
    </row>
    <row r="28" spans="1:16" s="12" customFormat="1" ht="16.5" customHeight="1">
      <c r="A28" s="20" t="s">
        <v>4</v>
      </c>
      <c r="B28" s="147"/>
      <c r="C28" s="39">
        <v>5</v>
      </c>
      <c r="D28" s="39">
        <v>5</v>
      </c>
      <c r="E28" s="39">
        <v>5</v>
      </c>
      <c r="F28" s="147"/>
      <c r="G28" s="147"/>
    </row>
    <row r="29" spans="1:16">
      <c r="A29" s="6" t="s">
        <v>58</v>
      </c>
    </row>
    <row r="30" spans="1:16">
      <c r="A30" s="62"/>
    </row>
  </sheetData>
  <mergeCells count="17">
    <mergeCell ref="B25:B28"/>
    <mergeCell ref="F25:G28"/>
    <mergeCell ref="A4:D4"/>
    <mergeCell ref="A2:D2"/>
    <mergeCell ref="B11:B14"/>
    <mergeCell ref="F11:G14"/>
    <mergeCell ref="A18:D18"/>
    <mergeCell ref="A5:C5"/>
    <mergeCell ref="A17:D17"/>
    <mergeCell ref="I18:K18"/>
    <mergeCell ref="J21:J24"/>
    <mergeCell ref="N21:O24"/>
    <mergeCell ref="I4:L4"/>
    <mergeCell ref="J8:J11"/>
    <mergeCell ref="N8:O11"/>
    <mergeCell ref="I5:K5"/>
    <mergeCell ref="I17:L17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50"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2:AK43"/>
  <sheetViews>
    <sheetView topLeftCell="A4" zoomScaleNormal="100" zoomScaleSheetLayoutView="70" workbookViewId="0">
      <selection activeCell="P35" sqref="P35"/>
    </sheetView>
  </sheetViews>
  <sheetFormatPr defaultColWidth="8.875" defaultRowHeight="13.5"/>
  <cols>
    <col min="1" max="1" width="12.75" style="47" customWidth="1"/>
    <col min="2" max="2" width="7.375" style="47" customWidth="1"/>
    <col min="3" max="3" width="8.875" style="98" customWidth="1"/>
    <col min="4" max="4" width="6.875" style="99" customWidth="1"/>
    <col min="5" max="5" width="8.125" style="98" customWidth="1"/>
    <col min="6" max="6" width="7.25" style="99" customWidth="1"/>
    <col min="7" max="7" width="8.25" style="98" customWidth="1"/>
    <col min="8" max="8" width="7.375" style="99" customWidth="1"/>
    <col min="9" max="9" width="8.625" style="98" customWidth="1"/>
    <col min="10" max="10" width="6.75" style="99" customWidth="1"/>
    <col min="11" max="11" width="12.875" style="98" customWidth="1"/>
    <col min="12" max="12" width="7.25" style="99" customWidth="1"/>
    <col min="13" max="13" width="9.375" style="98" customWidth="1"/>
    <col min="14" max="14" width="7" style="99" customWidth="1"/>
    <col min="15" max="15" width="11.25" style="98" customWidth="1"/>
    <col min="16" max="16" width="6.625" style="99" customWidth="1"/>
    <col min="17" max="17" width="11.25" style="98" customWidth="1"/>
    <col min="18" max="18" width="6.875" style="99" customWidth="1"/>
    <col min="19" max="19" width="8.875" style="1"/>
    <col min="20" max="20" width="20.5" style="1" customWidth="1"/>
    <col min="21" max="29" width="9" style="1" bestFit="1" customWidth="1"/>
    <col min="30" max="31" width="8.875" style="1"/>
    <col min="32" max="32" width="9.625" style="1" bestFit="1" customWidth="1"/>
    <col min="33" max="33" width="9" style="1" bestFit="1" customWidth="1"/>
    <col min="34" max="34" width="9.625" style="1" bestFit="1" customWidth="1"/>
    <col min="35" max="35" width="9" style="1" bestFit="1" customWidth="1"/>
    <col min="36" max="36" width="9.625" style="1" bestFit="1" customWidth="1"/>
    <col min="37" max="37" width="9" style="1" bestFit="1" customWidth="1"/>
    <col min="38" max="16384" width="8.875" style="1"/>
  </cols>
  <sheetData>
    <row r="2" spans="1:37">
      <c r="A2" s="145" t="s">
        <v>56</v>
      </c>
      <c r="B2" s="145"/>
      <c r="C2" s="145"/>
      <c r="D2" s="145"/>
      <c r="E2" s="145"/>
    </row>
    <row r="3" spans="1:37">
      <c r="A3" s="9"/>
      <c r="B3" s="9"/>
      <c r="C3" s="97"/>
      <c r="D3" s="75"/>
      <c r="E3" s="97"/>
    </row>
    <row r="4" spans="1:37">
      <c r="A4" s="154" t="s">
        <v>106</v>
      </c>
      <c r="B4" s="146"/>
      <c r="C4" s="146"/>
      <c r="D4" s="146"/>
      <c r="E4" s="146"/>
      <c r="T4" s="154" t="s">
        <v>105</v>
      </c>
      <c r="U4" s="146"/>
      <c r="V4" s="146"/>
      <c r="W4" s="146"/>
      <c r="X4" s="146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spans="1:37" ht="15">
      <c r="A5" s="63" t="s">
        <v>199</v>
      </c>
      <c r="T5" s="63" t="s">
        <v>199</v>
      </c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</row>
    <row r="6" spans="1:37" ht="14.1" customHeight="1">
      <c r="A6" s="160" t="s">
        <v>212</v>
      </c>
      <c r="B6" s="160" t="s">
        <v>213</v>
      </c>
      <c r="C6" s="96" t="s">
        <v>5</v>
      </c>
      <c r="D6" s="149" t="s">
        <v>214</v>
      </c>
      <c r="E6" s="96" t="s">
        <v>6</v>
      </c>
      <c r="F6" s="149" t="s">
        <v>214</v>
      </c>
      <c r="G6" s="96" t="s">
        <v>7</v>
      </c>
      <c r="H6" s="149" t="s">
        <v>214</v>
      </c>
      <c r="I6" s="96" t="s">
        <v>8</v>
      </c>
      <c r="J6" s="149" t="s">
        <v>214</v>
      </c>
      <c r="K6" s="96" t="s">
        <v>9</v>
      </c>
      <c r="L6" s="149" t="s">
        <v>214</v>
      </c>
      <c r="M6" s="96" t="s">
        <v>10</v>
      </c>
      <c r="N6" s="149" t="s">
        <v>214</v>
      </c>
      <c r="O6" s="96" t="s">
        <v>11</v>
      </c>
      <c r="P6" s="149" t="s">
        <v>214</v>
      </c>
      <c r="Q6" s="96" t="s">
        <v>13</v>
      </c>
      <c r="R6" s="149" t="s">
        <v>214</v>
      </c>
      <c r="T6" s="160" t="s">
        <v>212</v>
      </c>
      <c r="U6" s="160" t="s">
        <v>213</v>
      </c>
      <c r="V6" s="96" t="s">
        <v>5</v>
      </c>
      <c r="W6" s="149" t="s">
        <v>214</v>
      </c>
      <c r="X6" s="96" t="s">
        <v>6</v>
      </c>
      <c r="Y6" s="149" t="s">
        <v>214</v>
      </c>
      <c r="Z6" s="96" t="s">
        <v>7</v>
      </c>
      <c r="AA6" s="149" t="s">
        <v>214</v>
      </c>
      <c r="AB6" s="96" t="s">
        <v>8</v>
      </c>
      <c r="AC6" s="149" t="s">
        <v>214</v>
      </c>
      <c r="AD6" s="96" t="s">
        <v>9</v>
      </c>
      <c r="AE6" s="149" t="s">
        <v>214</v>
      </c>
      <c r="AF6" s="96" t="s">
        <v>10</v>
      </c>
      <c r="AG6" s="149" t="s">
        <v>214</v>
      </c>
      <c r="AH6" s="96" t="s">
        <v>11</v>
      </c>
      <c r="AI6" s="149" t="s">
        <v>214</v>
      </c>
      <c r="AJ6" s="96" t="s">
        <v>13</v>
      </c>
      <c r="AK6" s="149" t="s">
        <v>214</v>
      </c>
    </row>
    <row r="7" spans="1:37" s="26" customFormat="1" ht="15">
      <c r="A7" s="160"/>
      <c r="B7" s="160"/>
      <c r="C7" s="96">
        <v>4.63</v>
      </c>
      <c r="D7" s="149"/>
      <c r="E7" s="96" t="s">
        <v>192</v>
      </c>
      <c r="F7" s="149"/>
      <c r="G7" s="96" t="s">
        <v>193</v>
      </c>
      <c r="H7" s="149"/>
      <c r="I7" s="96" t="s">
        <v>194</v>
      </c>
      <c r="J7" s="149"/>
      <c r="K7" s="96" t="s">
        <v>195</v>
      </c>
      <c r="L7" s="149"/>
      <c r="M7" s="96" t="s">
        <v>196</v>
      </c>
      <c r="N7" s="149"/>
      <c r="O7" s="96" t="s">
        <v>197</v>
      </c>
      <c r="P7" s="149"/>
      <c r="Q7" s="96" t="s">
        <v>198</v>
      </c>
      <c r="R7" s="149"/>
      <c r="T7" s="160"/>
      <c r="U7" s="160"/>
      <c r="V7" s="96">
        <v>4.63</v>
      </c>
      <c r="W7" s="149"/>
      <c r="X7" s="96" t="s">
        <v>192</v>
      </c>
      <c r="Y7" s="149"/>
      <c r="Z7" s="96" t="s">
        <v>193</v>
      </c>
      <c r="AA7" s="149"/>
      <c r="AB7" s="96" t="s">
        <v>194</v>
      </c>
      <c r="AC7" s="149"/>
      <c r="AD7" s="96" t="s">
        <v>195</v>
      </c>
      <c r="AE7" s="149"/>
      <c r="AF7" s="96" t="s">
        <v>196</v>
      </c>
      <c r="AG7" s="149"/>
      <c r="AH7" s="96" t="s">
        <v>197</v>
      </c>
      <c r="AI7" s="149"/>
      <c r="AJ7" s="96" t="s">
        <v>198</v>
      </c>
      <c r="AK7" s="149"/>
    </row>
    <row r="8" spans="1:37" s="25" customFormat="1" ht="15">
      <c r="A8" s="160"/>
      <c r="B8" s="160"/>
      <c r="C8" s="96" t="s">
        <v>12</v>
      </c>
      <c r="D8" s="149"/>
      <c r="E8" s="96" t="s">
        <v>12</v>
      </c>
      <c r="F8" s="149"/>
      <c r="G8" s="96" t="s">
        <v>12</v>
      </c>
      <c r="H8" s="149"/>
      <c r="I8" s="96" t="s">
        <v>12</v>
      </c>
      <c r="J8" s="149"/>
      <c r="K8" s="96" t="s">
        <v>12</v>
      </c>
      <c r="L8" s="149"/>
      <c r="M8" s="96" t="s">
        <v>12</v>
      </c>
      <c r="N8" s="149"/>
      <c r="O8" s="96" t="s">
        <v>12</v>
      </c>
      <c r="P8" s="149"/>
      <c r="Q8" s="96" t="s">
        <v>12</v>
      </c>
      <c r="R8" s="149"/>
      <c r="T8" s="160"/>
      <c r="U8" s="160"/>
      <c r="V8" s="96" t="s">
        <v>12</v>
      </c>
      <c r="W8" s="149"/>
      <c r="X8" s="96" t="s">
        <v>12</v>
      </c>
      <c r="Y8" s="149"/>
      <c r="Z8" s="96" t="s">
        <v>12</v>
      </c>
      <c r="AA8" s="149"/>
      <c r="AB8" s="96" t="s">
        <v>12</v>
      </c>
      <c r="AC8" s="149"/>
      <c r="AD8" s="96" t="s">
        <v>12</v>
      </c>
      <c r="AE8" s="149"/>
      <c r="AF8" s="96" t="s">
        <v>12</v>
      </c>
      <c r="AG8" s="149"/>
      <c r="AH8" s="96" t="s">
        <v>12</v>
      </c>
      <c r="AI8" s="149"/>
      <c r="AJ8" s="96" t="s">
        <v>12</v>
      </c>
      <c r="AK8" s="149"/>
    </row>
    <row r="9" spans="1:37">
      <c r="A9" s="155">
        <v>45903</v>
      </c>
      <c r="B9" s="140">
        <v>2</v>
      </c>
      <c r="C9" s="64">
        <v>4.7489999999999997</v>
      </c>
      <c r="D9" s="65">
        <v>2.6</v>
      </c>
      <c r="E9" s="64">
        <v>8.1910000000000007</v>
      </c>
      <c r="F9" s="65">
        <v>-11.5</v>
      </c>
      <c r="G9" s="64">
        <v>44.945999999999998</v>
      </c>
      <c r="H9" s="65">
        <v>-2.9</v>
      </c>
      <c r="I9" s="64">
        <v>246.35599999999999</v>
      </c>
      <c r="J9" s="65">
        <v>6.4</v>
      </c>
      <c r="K9" s="64">
        <v>940.68499999999995</v>
      </c>
      <c r="L9" s="65">
        <v>1.6</v>
      </c>
      <c r="M9" s="64">
        <v>1781.107</v>
      </c>
      <c r="N9" s="65">
        <v>-3.8</v>
      </c>
      <c r="O9" s="64">
        <v>3621.2269999999999</v>
      </c>
      <c r="P9" s="65">
        <v>-2.2000000000000002</v>
      </c>
      <c r="Q9" s="64">
        <v>4463.6310000000003</v>
      </c>
      <c r="R9" s="65">
        <v>-3.6</v>
      </c>
      <c r="T9" s="155">
        <v>45902</v>
      </c>
      <c r="U9" s="140">
        <v>1</v>
      </c>
      <c r="V9" s="64">
        <v>4.3650000000000002</v>
      </c>
      <c r="W9" s="65">
        <v>-5.7</v>
      </c>
      <c r="X9" s="64">
        <v>9.157</v>
      </c>
      <c r="Y9" s="65">
        <v>-1.1000000000000001</v>
      </c>
      <c r="Z9" s="64">
        <v>46.654000000000003</v>
      </c>
      <c r="AA9" s="65">
        <v>0.8</v>
      </c>
      <c r="AB9" s="64">
        <v>214.69</v>
      </c>
      <c r="AC9" s="65">
        <v>-7.3</v>
      </c>
      <c r="AD9" s="64" t="s">
        <v>215</v>
      </c>
      <c r="AE9" s="67"/>
      <c r="AF9" s="64">
        <v>1783.453</v>
      </c>
      <c r="AG9" s="65">
        <v>-3.7</v>
      </c>
      <c r="AH9" s="64">
        <v>3578.2420000000002</v>
      </c>
      <c r="AI9" s="65">
        <v>-3.4</v>
      </c>
      <c r="AJ9" s="64">
        <v>4468.2979999999998</v>
      </c>
      <c r="AK9" s="65">
        <v>-3.5</v>
      </c>
    </row>
    <row r="10" spans="1:37" ht="17.45" customHeight="1">
      <c r="A10" s="156"/>
      <c r="B10" s="141"/>
      <c r="C10" s="64">
        <v>4.8929999999999998</v>
      </c>
      <c r="D10" s="65">
        <v>5.7</v>
      </c>
      <c r="E10" s="64">
        <v>8.7189999999999994</v>
      </c>
      <c r="F10" s="65">
        <v>-5.8</v>
      </c>
      <c r="G10" s="64">
        <v>48.241</v>
      </c>
      <c r="H10" s="65">
        <v>4.2</v>
      </c>
      <c r="I10" s="64">
        <v>255.803</v>
      </c>
      <c r="J10" s="65">
        <v>10.5</v>
      </c>
      <c r="K10" s="64">
        <v>908.06500000000005</v>
      </c>
      <c r="L10" s="65">
        <v>-1.9</v>
      </c>
      <c r="M10" s="64">
        <v>1824.8050000000001</v>
      </c>
      <c r="N10" s="65">
        <v>-1.5</v>
      </c>
      <c r="O10" s="64">
        <v>3725.1350000000002</v>
      </c>
      <c r="P10" s="65">
        <v>0.6</v>
      </c>
      <c r="Q10" s="64">
        <v>4713.7839999999997</v>
      </c>
      <c r="R10" s="65">
        <v>1.8</v>
      </c>
      <c r="T10" s="156"/>
      <c r="U10" s="141"/>
      <c r="V10" s="64">
        <v>4.6159999999999997</v>
      </c>
      <c r="W10" s="65">
        <v>-0.3</v>
      </c>
      <c r="X10" s="64">
        <v>10.493</v>
      </c>
      <c r="Y10" s="65">
        <v>13.3</v>
      </c>
      <c r="Z10" s="64" t="s">
        <v>216</v>
      </c>
      <c r="AA10" s="67"/>
      <c r="AB10" s="64" t="s">
        <v>217</v>
      </c>
      <c r="AC10" s="67"/>
      <c r="AD10" s="64" t="s">
        <v>218</v>
      </c>
      <c r="AE10" s="67"/>
      <c r="AF10" s="64">
        <v>1932.61</v>
      </c>
      <c r="AG10" s="65">
        <v>4.4000000000000004</v>
      </c>
      <c r="AH10" s="64">
        <v>3880.4789999999998</v>
      </c>
      <c r="AI10" s="65">
        <v>4.8</v>
      </c>
      <c r="AJ10" s="64">
        <v>4711.97</v>
      </c>
      <c r="AK10" s="65">
        <v>1.8</v>
      </c>
    </row>
    <row r="11" spans="1:37">
      <c r="A11" s="155">
        <v>45905</v>
      </c>
      <c r="B11" s="140">
        <v>4</v>
      </c>
      <c r="C11" s="64">
        <v>4.7300000000000004</v>
      </c>
      <c r="D11" s="65">
        <v>2.2000000000000002</v>
      </c>
      <c r="E11" s="64">
        <v>9.0419999999999998</v>
      </c>
      <c r="F11" s="65">
        <v>-2.4</v>
      </c>
      <c r="G11" s="64">
        <v>46.177</v>
      </c>
      <c r="H11" s="65">
        <v>-0.3</v>
      </c>
      <c r="I11" s="64">
        <v>211.899</v>
      </c>
      <c r="J11" s="65">
        <v>-8.5</v>
      </c>
      <c r="K11" s="64">
        <v>856.80100000000004</v>
      </c>
      <c r="L11" s="65">
        <v>-7.5</v>
      </c>
      <c r="M11" s="64">
        <v>1697.364</v>
      </c>
      <c r="N11" s="65">
        <v>-8.3000000000000007</v>
      </c>
      <c r="O11" s="64">
        <v>3174.4749999999999</v>
      </c>
      <c r="P11" s="65">
        <v>-14.3</v>
      </c>
      <c r="Q11" s="64">
        <v>4495.7160000000003</v>
      </c>
      <c r="R11" s="65">
        <v>-2.9</v>
      </c>
      <c r="T11" s="20" t="s">
        <v>22</v>
      </c>
      <c r="U11" s="157"/>
      <c r="V11" s="64">
        <v>4.4909999999999997</v>
      </c>
      <c r="W11" s="150"/>
      <c r="X11" s="64">
        <v>9.8249999999999993</v>
      </c>
      <c r="Y11" s="150"/>
      <c r="Z11" s="64">
        <v>46.654000000000003</v>
      </c>
      <c r="AA11" s="150"/>
      <c r="AB11" s="64">
        <v>214.69</v>
      </c>
      <c r="AC11" s="150"/>
      <c r="AD11" s="67"/>
      <c r="AE11" s="150"/>
      <c r="AF11" s="64">
        <v>1858.0319999999999</v>
      </c>
      <c r="AG11" s="150"/>
      <c r="AH11" s="64">
        <v>3729.3609999999999</v>
      </c>
      <c r="AI11" s="150"/>
      <c r="AJ11" s="64">
        <v>4590.134</v>
      </c>
      <c r="AK11" s="150"/>
    </row>
    <row r="12" spans="1:37">
      <c r="A12" s="156"/>
      <c r="B12" s="141"/>
      <c r="C12" s="64">
        <v>4.4329999999999998</v>
      </c>
      <c r="D12" s="65">
        <v>-4.3</v>
      </c>
      <c r="E12" s="64">
        <v>9.7170000000000005</v>
      </c>
      <c r="F12" s="65">
        <v>4.9000000000000004</v>
      </c>
      <c r="G12" s="64">
        <v>50.274000000000001</v>
      </c>
      <c r="H12" s="65">
        <v>8.6</v>
      </c>
      <c r="I12" s="64">
        <v>250.95699999999999</v>
      </c>
      <c r="J12" s="65">
        <v>8.4</v>
      </c>
      <c r="K12" s="64">
        <v>981.375</v>
      </c>
      <c r="L12" s="65">
        <v>6</v>
      </c>
      <c r="M12" s="64">
        <v>2011.502</v>
      </c>
      <c r="N12" s="65">
        <v>8.6</v>
      </c>
      <c r="O12" s="64">
        <v>3824.95</v>
      </c>
      <c r="P12" s="65">
        <v>3.3</v>
      </c>
      <c r="Q12" s="64">
        <v>4925.3339999999998</v>
      </c>
      <c r="R12" s="65">
        <v>6.4</v>
      </c>
      <c r="T12" s="20" t="s">
        <v>3</v>
      </c>
      <c r="U12" s="158"/>
      <c r="V12" s="67"/>
      <c r="W12" s="151"/>
      <c r="X12" s="67"/>
      <c r="Y12" s="151"/>
      <c r="Z12" s="67"/>
      <c r="AA12" s="151"/>
      <c r="AB12" s="67"/>
      <c r="AC12" s="151"/>
      <c r="AD12" s="67"/>
      <c r="AE12" s="151"/>
      <c r="AF12" s="67"/>
      <c r="AG12" s="151"/>
      <c r="AH12" s="67"/>
      <c r="AI12" s="151"/>
      <c r="AJ12" s="67"/>
      <c r="AK12" s="151"/>
    </row>
    <row r="13" spans="1:37">
      <c r="A13" s="161">
        <v>45909</v>
      </c>
      <c r="B13" s="136">
        <v>7</v>
      </c>
      <c r="C13" s="64">
        <v>4.7649999999999997</v>
      </c>
      <c r="D13" s="65">
        <v>2.9</v>
      </c>
      <c r="E13" s="64">
        <v>9.2690000000000001</v>
      </c>
      <c r="F13" s="65">
        <v>0.1</v>
      </c>
      <c r="G13" s="64">
        <v>50.853999999999999</v>
      </c>
      <c r="H13" s="65">
        <v>9.8000000000000007</v>
      </c>
      <c r="I13" s="64">
        <v>235.08</v>
      </c>
      <c r="J13" s="65">
        <v>1.6</v>
      </c>
      <c r="K13" s="64">
        <v>942.28800000000001</v>
      </c>
      <c r="L13" s="65">
        <v>1.8</v>
      </c>
      <c r="M13" s="64">
        <v>1785.0360000000001</v>
      </c>
      <c r="N13" s="65">
        <v>-3.6</v>
      </c>
      <c r="O13" s="64">
        <v>3758.759</v>
      </c>
      <c r="P13" s="65">
        <v>1.5</v>
      </c>
      <c r="Q13" s="64">
        <v>4566.4530000000004</v>
      </c>
      <c r="R13" s="65">
        <v>-1.4</v>
      </c>
      <c r="T13" s="20" t="s">
        <v>61</v>
      </c>
      <c r="U13" s="158"/>
      <c r="V13" s="67"/>
      <c r="W13" s="151"/>
      <c r="X13" s="67"/>
      <c r="Y13" s="151"/>
      <c r="Z13" s="67"/>
      <c r="AA13" s="151"/>
      <c r="AB13" s="67"/>
      <c r="AC13" s="151"/>
      <c r="AD13" s="67"/>
      <c r="AE13" s="151"/>
      <c r="AF13" s="67"/>
      <c r="AG13" s="151"/>
      <c r="AH13" s="67"/>
      <c r="AI13" s="151"/>
      <c r="AJ13" s="67"/>
      <c r="AK13" s="151"/>
    </row>
    <row r="14" spans="1:37">
      <c r="A14" s="161"/>
      <c r="B14" s="136"/>
      <c r="C14" s="64">
        <v>4.524</v>
      </c>
      <c r="D14" s="65">
        <v>-2.2999999999999998</v>
      </c>
      <c r="E14" s="64">
        <v>8.9489999999999998</v>
      </c>
      <c r="F14" s="65">
        <v>-3.4</v>
      </c>
      <c r="G14" s="64">
        <v>45.997</v>
      </c>
      <c r="H14" s="65">
        <v>-0.7</v>
      </c>
      <c r="I14" s="64">
        <v>237.27699999999999</v>
      </c>
      <c r="J14" s="65">
        <v>2.5</v>
      </c>
      <c r="K14" s="64">
        <v>933.64099999999996</v>
      </c>
      <c r="L14" s="65">
        <v>0.8</v>
      </c>
      <c r="M14" s="64">
        <v>1796.681</v>
      </c>
      <c r="N14" s="65">
        <v>-3</v>
      </c>
      <c r="O14" s="64">
        <v>3587.2559999999999</v>
      </c>
      <c r="P14" s="65">
        <v>-3.1</v>
      </c>
      <c r="Q14" s="64">
        <v>4463.8429999999998</v>
      </c>
      <c r="R14" s="65">
        <v>-3.6</v>
      </c>
      <c r="T14" s="20" t="s">
        <v>64</v>
      </c>
      <c r="U14" s="158"/>
      <c r="V14" s="65">
        <v>-3</v>
      </c>
      <c r="W14" s="151"/>
      <c r="X14" s="65">
        <v>6.1</v>
      </c>
      <c r="Y14" s="151"/>
      <c r="Z14" s="65">
        <v>0.8</v>
      </c>
      <c r="AA14" s="151"/>
      <c r="AB14" s="65">
        <v>-7.3</v>
      </c>
      <c r="AC14" s="151"/>
      <c r="AD14" s="67"/>
      <c r="AE14" s="151"/>
      <c r="AF14" s="65">
        <v>0.3</v>
      </c>
      <c r="AG14" s="151"/>
      <c r="AH14" s="65">
        <v>0.7</v>
      </c>
      <c r="AI14" s="151"/>
      <c r="AJ14" s="65">
        <v>-0.9</v>
      </c>
      <c r="AK14" s="151"/>
    </row>
    <row r="15" spans="1:37">
      <c r="A15" s="161">
        <v>45990</v>
      </c>
      <c r="B15" s="136">
        <v>10</v>
      </c>
      <c r="C15" s="64">
        <v>4.6920000000000002</v>
      </c>
      <c r="D15" s="65">
        <v>1.3</v>
      </c>
      <c r="E15" s="64">
        <v>9.2739999999999991</v>
      </c>
      <c r="F15" s="65">
        <v>0.2</v>
      </c>
      <c r="G15" s="64">
        <v>46.234000000000002</v>
      </c>
      <c r="H15" s="65">
        <v>-0.1</v>
      </c>
      <c r="I15" s="64">
        <v>234.41200000000001</v>
      </c>
      <c r="J15" s="65">
        <v>1.3</v>
      </c>
      <c r="K15" s="64">
        <v>919.91499999999996</v>
      </c>
      <c r="L15" s="65">
        <v>-0.7</v>
      </c>
      <c r="M15" s="64">
        <v>1876.453</v>
      </c>
      <c r="N15" s="65">
        <v>1.3</v>
      </c>
      <c r="O15" s="64">
        <v>3641.9940000000001</v>
      </c>
      <c r="P15" s="65">
        <v>-1.7</v>
      </c>
      <c r="Q15" s="64">
        <v>4592.6850000000004</v>
      </c>
      <c r="R15" s="65">
        <v>-0.8</v>
      </c>
      <c r="T15" s="20" t="s">
        <v>4</v>
      </c>
      <c r="U15" s="159"/>
      <c r="V15" s="66">
        <v>2</v>
      </c>
      <c r="W15" s="152"/>
      <c r="X15" s="66">
        <v>2</v>
      </c>
      <c r="Y15" s="152"/>
      <c r="Z15" s="66">
        <v>1</v>
      </c>
      <c r="AA15" s="152"/>
      <c r="AB15" s="66">
        <v>1</v>
      </c>
      <c r="AC15" s="152"/>
      <c r="AD15" s="67"/>
      <c r="AE15" s="152"/>
      <c r="AF15" s="66">
        <v>2</v>
      </c>
      <c r="AG15" s="152"/>
      <c r="AH15" s="66">
        <v>2</v>
      </c>
      <c r="AI15" s="152"/>
      <c r="AJ15" s="66">
        <v>2</v>
      </c>
      <c r="AK15" s="152"/>
    </row>
    <row r="16" spans="1:37">
      <c r="A16" s="161"/>
      <c r="B16" s="136"/>
      <c r="C16" s="64">
        <v>4.5359999999999996</v>
      </c>
      <c r="D16" s="65">
        <v>-2</v>
      </c>
      <c r="E16" s="64">
        <v>9.3710000000000004</v>
      </c>
      <c r="F16" s="65">
        <v>1.2</v>
      </c>
      <c r="G16" s="64">
        <v>45.933</v>
      </c>
      <c r="H16" s="65">
        <v>-0.8</v>
      </c>
      <c r="I16" s="64">
        <v>238.60400000000001</v>
      </c>
      <c r="J16" s="65">
        <v>3.1</v>
      </c>
      <c r="K16" s="64">
        <v>964.76</v>
      </c>
      <c r="L16" s="65">
        <v>4.2</v>
      </c>
      <c r="M16" s="64">
        <v>1831.356</v>
      </c>
      <c r="N16" s="65">
        <v>-1.1000000000000001</v>
      </c>
      <c r="O16" s="64">
        <v>3684.9470000000001</v>
      </c>
      <c r="P16" s="65">
        <v>-0.5</v>
      </c>
      <c r="Q16" s="64">
        <v>4405.3379999999997</v>
      </c>
      <c r="R16" s="65">
        <v>-4.8</v>
      </c>
      <c r="T16" s="153" t="s">
        <v>152</v>
      </c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</row>
    <row r="17" spans="1:37" ht="14.1" customHeight="1">
      <c r="A17" s="20" t="s">
        <v>22</v>
      </c>
      <c r="B17" s="157"/>
      <c r="C17" s="64">
        <v>4.665</v>
      </c>
      <c r="D17" s="150"/>
      <c r="E17" s="64">
        <v>9.0670000000000002</v>
      </c>
      <c r="F17" s="150"/>
      <c r="G17" s="64">
        <v>47.332000000000001</v>
      </c>
      <c r="H17" s="150"/>
      <c r="I17" s="64">
        <v>238.79900000000001</v>
      </c>
      <c r="J17" s="150"/>
      <c r="K17" s="64">
        <v>930.94100000000003</v>
      </c>
      <c r="L17" s="150"/>
      <c r="M17" s="64">
        <v>1825.538</v>
      </c>
      <c r="N17" s="150"/>
      <c r="O17" s="64">
        <v>3627.3429999999998</v>
      </c>
      <c r="P17" s="150"/>
      <c r="Q17" s="64">
        <v>4578.348</v>
      </c>
      <c r="R17" s="150"/>
      <c r="T17" s="62" t="s">
        <v>191</v>
      </c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</row>
    <row r="18" spans="1:37" ht="14.1" customHeight="1">
      <c r="A18" s="20" t="s">
        <v>3</v>
      </c>
      <c r="B18" s="158"/>
      <c r="C18" s="64">
        <v>0.153</v>
      </c>
      <c r="D18" s="151"/>
      <c r="E18" s="64">
        <v>0.46300000000000002</v>
      </c>
      <c r="F18" s="151"/>
      <c r="G18" s="64">
        <v>2.1989999999999998</v>
      </c>
      <c r="H18" s="151"/>
      <c r="I18" s="64">
        <v>13.38</v>
      </c>
      <c r="J18" s="151"/>
      <c r="K18" s="64">
        <v>37.909999999999997</v>
      </c>
      <c r="L18" s="151"/>
      <c r="M18" s="64">
        <v>91.093000000000004</v>
      </c>
      <c r="N18" s="151"/>
      <c r="O18" s="64">
        <v>198.62</v>
      </c>
      <c r="P18" s="151"/>
      <c r="Q18" s="64">
        <v>169.92500000000001</v>
      </c>
      <c r="R18" s="151"/>
    </row>
    <row r="19" spans="1:37" s="29" customFormat="1" ht="14.1" customHeight="1">
      <c r="A19" s="65" t="s">
        <v>61</v>
      </c>
      <c r="B19" s="158"/>
      <c r="C19" s="65">
        <v>3.3</v>
      </c>
      <c r="D19" s="151"/>
      <c r="E19" s="65">
        <v>5.0999999999999996</v>
      </c>
      <c r="F19" s="151"/>
      <c r="G19" s="65">
        <v>4.5999999999999996</v>
      </c>
      <c r="H19" s="151"/>
      <c r="I19" s="65">
        <v>5.6</v>
      </c>
      <c r="J19" s="151"/>
      <c r="K19" s="65">
        <v>4.0999999999999996</v>
      </c>
      <c r="L19" s="151"/>
      <c r="M19" s="65">
        <v>5</v>
      </c>
      <c r="N19" s="151"/>
      <c r="O19" s="65">
        <v>5.5</v>
      </c>
      <c r="P19" s="151"/>
      <c r="Q19" s="65">
        <v>3.7</v>
      </c>
      <c r="R19" s="151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</row>
    <row r="20" spans="1:37" s="29" customFormat="1" ht="14.1" customHeight="1">
      <c r="A20" s="65" t="s">
        <v>64</v>
      </c>
      <c r="B20" s="158"/>
      <c r="C20" s="65">
        <v>0.8</v>
      </c>
      <c r="D20" s="151"/>
      <c r="E20" s="65">
        <v>-2.1</v>
      </c>
      <c r="F20" s="151"/>
      <c r="G20" s="65">
        <v>2.2000000000000002</v>
      </c>
      <c r="H20" s="151"/>
      <c r="I20" s="65">
        <v>3.2</v>
      </c>
      <c r="J20" s="151"/>
      <c r="K20" s="65">
        <v>0.5</v>
      </c>
      <c r="L20" s="151"/>
      <c r="M20" s="65">
        <v>-1.4</v>
      </c>
      <c r="N20" s="151"/>
      <c r="O20" s="65">
        <v>-2.1</v>
      </c>
      <c r="P20" s="151"/>
      <c r="Q20" s="65">
        <v>-1.1000000000000001</v>
      </c>
      <c r="R20" s="151"/>
    </row>
    <row r="21" spans="1:37" s="101" customFormat="1" ht="14.1" customHeight="1">
      <c r="A21" s="66" t="s">
        <v>4</v>
      </c>
      <c r="B21" s="159"/>
      <c r="C21" s="66">
        <v>8</v>
      </c>
      <c r="D21" s="152"/>
      <c r="E21" s="66">
        <v>8</v>
      </c>
      <c r="F21" s="152"/>
      <c r="G21" s="66">
        <v>8</v>
      </c>
      <c r="H21" s="152"/>
      <c r="I21" s="66">
        <v>8</v>
      </c>
      <c r="J21" s="152"/>
      <c r="K21" s="66">
        <v>8</v>
      </c>
      <c r="L21" s="152"/>
      <c r="M21" s="66">
        <v>8</v>
      </c>
      <c r="N21" s="152"/>
      <c r="O21" s="66">
        <v>8</v>
      </c>
      <c r="P21" s="152"/>
      <c r="Q21" s="66">
        <v>8</v>
      </c>
      <c r="R21" s="152"/>
    </row>
    <row r="22" spans="1:37" ht="13.5" customHeight="1">
      <c r="A22" s="163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5"/>
      <c r="P22" s="164"/>
      <c r="Q22" s="165"/>
      <c r="R22" s="164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spans="1:37">
      <c r="A23" s="162"/>
      <c r="B23" s="162"/>
      <c r="C23" s="162"/>
      <c r="D23" s="162"/>
      <c r="T23" s="154" t="s">
        <v>105</v>
      </c>
      <c r="U23" s="146"/>
      <c r="V23" s="146"/>
      <c r="W23" s="146"/>
      <c r="X23" s="146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</row>
    <row r="24" spans="1:37" s="25" customFormat="1">
      <c r="A24" s="154" t="s">
        <v>208</v>
      </c>
      <c r="B24" s="146"/>
      <c r="C24" s="146"/>
      <c r="D24" s="146"/>
      <c r="E24" s="146"/>
      <c r="F24" s="99"/>
      <c r="G24" s="98"/>
      <c r="H24" s="99"/>
      <c r="I24" s="98"/>
      <c r="J24" s="99"/>
      <c r="K24" s="98"/>
      <c r="L24" s="99"/>
      <c r="M24" s="98"/>
      <c r="N24" s="99"/>
      <c r="O24" s="98"/>
      <c r="P24" s="99"/>
      <c r="Q24" s="98"/>
      <c r="R24" s="99"/>
      <c r="T24" s="154" t="s">
        <v>208</v>
      </c>
      <c r="U24" s="146"/>
      <c r="V24" s="146"/>
      <c r="W24" s="146"/>
      <c r="X24" s="146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</row>
    <row r="25" spans="1:37" ht="14.1" customHeight="1">
      <c r="A25" s="160" t="s">
        <v>212</v>
      </c>
      <c r="B25" s="160" t="s">
        <v>213</v>
      </c>
      <c r="C25" s="96" t="s">
        <v>5</v>
      </c>
      <c r="D25" s="149" t="s">
        <v>214</v>
      </c>
      <c r="E25" s="96" t="s">
        <v>6</v>
      </c>
      <c r="F25" s="149" t="s">
        <v>214</v>
      </c>
      <c r="G25" s="96" t="s">
        <v>7</v>
      </c>
      <c r="H25" s="149" t="s">
        <v>214</v>
      </c>
      <c r="I25" s="96" t="s">
        <v>8</v>
      </c>
      <c r="J25" s="149" t="s">
        <v>214</v>
      </c>
      <c r="K25" s="96" t="s">
        <v>9</v>
      </c>
      <c r="L25" s="149" t="s">
        <v>214</v>
      </c>
      <c r="M25" s="96" t="s">
        <v>10</v>
      </c>
      <c r="N25" s="149" t="s">
        <v>214</v>
      </c>
      <c r="O25" s="96" t="s">
        <v>11</v>
      </c>
      <c r="P25" s="149" t="s">
        <v>214</v>
      </c>
      <c r="Q25" s="96" t="s">
        <v>13</v>
      </c>
      <c r="R25" s="149" t="s">
        <v>214</v>
      </c>
      <c r="T25" s="160" t="s">
        <v>212</v>
      </c>
      <c r="U25" s="160" t="s">
        <v>213</v>
      </c>
      <c r="V25" s="96" t="s">
        <v>5</v>
      </c>
      <c r="W25" s="149" t="s">
        <v>214</v>
      </c>
      <c r="X25" s="96" t="s">
        <v>6</v>
      </c>
      <c r="Y25" s="149" t="s">
        <v>214</v>
      </c>
      <c r="Z25" s="96" t="s">
        <v>7</v>
      </c>
      <c r="AA25" s="149" t="s">
        <v>214</v>
      </c>
      <c r="AB25" s="96" t="s">
        <v>8</v>
      </c>
      <c r="AC25" s="149" t="s">
        <v>214</v>
      </c>
      <c r="AD25" s="96" t="s">
        <v>9</v>
      </c>
      <c r="AE25" s="149" t="s">
        <v>214</v>
      </c>
      <c r="AF25" s="96" t="s">
        <v>10</v>
      </c>
      <c r="AG25" s="149" t="s">
        <v>214</v>
      </c>
      <c r="AH25" s="96" t="s">
        <v>11</v>
      </c>
      <c r="AI25" s="149" t="s">
        <v>214</v>
      </c>
      <c r="AJ25" s="96" t="s">
        <v>13</v>
      </c>
      <c r="AK25" s="149" t="s">
        <v>214</v>
      </c>
    </row>
    <row r="26" spans="1:37" s="26" customFormat="1" ht="15">
      <c r="A26" s="160"/>
      <c r="B26" s="160"/>
      <c r="C26" s="96" t="s">
        <v>200</v>
      </c>
      <c r="D26" s="149"/>
      <c r="E26" s="96" t="s">
        <v>201</v>
      </c>
      <c r="F26" s="149"/>
      <c r="G26" s="96" t="s">
        <v>202</v>
      </c>
      <c r="H26" s="149"/>
      <c r="I26" s="96" t="s">
        <v>203</v>
      </c>
      <c r="J26" s="149"/>
      <c r="K26" s="96" t="s">
        <v>204</v>
      </c>
      <c r="L26" s="149"/>
      <c r="M26" s="96" t="s">
        <v>205</v>
      </c>
      <c r="N26" s="149"/>
      <c r="O26" s="96" t="s">
        <v>206</v>
      </c>
      <c r="P26" s="149"/>
      <c r="Q26" s="96" t="s">
        <v>207</v>
      </c>
      <c r="R26" s="149"/>
      <c r="T26" s="160"/>
      <c r="U26" s="160"/>
      <c r="V26" s="96" t="s">
        <v>200</v>
      </c>
      <c r="W26" s="149"/>
      <c r="X26" s="96" t="s">
        <v>201</v>
      </c>
      <c r="Y26" s="149"/>
      <c r="Z26" s="96" t="s">
        <v>202</v>
      </c>
      <c r="AA26" s="149"/>
      <c r="AB26" s="96" t="s">
        <v>203</v>
      </c>
      <c r="AC26" s="149"/>
      <c r="AD26" s="96" t="s">
        <v>204</v>
      </c>
      <c r="AE26" s="149"/>
      <c r="AF26" s="96" t="s">
        <v>205</v>
      </c>
      <c r="AG26" s="149"/>
      <c r="AH26" s="96" t="s">
        <v>206</v>
      </c>
      <c r="AI26" s="149"/>
      <c r="AJ26" s="96" t="s">
        <v>207</v>
      </c>
      <c r="AK26" s="149"/>
    </row>
    <row r="27" spans="1:37" s="25" customFormat="1" ht="15">
      <c r="A27" s="160"/>
      <c r="B27" s="160"/>
      <c r="C27" s="96" t="s">
        <v>12</v>
      </c>
      <c r="D27" s="149"/>
      <c r="E27" s="96" t="s">
        <v>12</v>
      </c>
      <c r="F27" s="149"/>
      <c r="G27" s="96" t="s">
        <v>12</v>
      </c>
      <c r="H27" s="149"/>
      <c r="I27" s="96" t="s">
        <v>12</v>
      </c>
      <c r="J27" s="149"/>
      <c r="K27" s="96" t="s">
        <v>12</v>
      </c>
      <c r="L27" s="149"/>
      <c r="M27" s="96" t="s">
        <v>12</v>
      </c>
      <c r="N27" s="149"/>
      <c r="O27" s="96" t="s">
        <v>12</v>
      </c>
      <c r="P27" s="149"/>
      <c r="Q27" s="96" t="s">
        <v>12</v>
      </c>
      <c r="R27" s="149"/>
      <c r="T27" s="160"/>
      <c r="U27" s="160"/>
      <c r="V27" s="96" t="s">
        <v>12</v>
      </c>
      <c r="W27" s="149"/>
      <c r="X27" s="96" t="s">
        <v>12</v>
      </c>
      <c r="Y27" s="149"/>
      <c r="Z27" s="96" t="s">
        <v>12</v>
      </c>
      <c r="AA27" s="149"/>
      <c r="AB27" s="96" t="s">
        <v>12</v>
      </c>
      <c r="AC27" s="149"/>
      <c r="AD27" s="96" t="s">
        <v>12</v>
      </c>
      <c r="AE27" s="149"/>
      <c r="AF27" s="96" t="s">
        <v>12</v>
      </c>
      <c r="AG27" s="149"/>
      <c r="AH27" s="96" t="s">
        <v>12</v>
      </c>
      <c r="AI27" s="149"/>
      <c r="AJ27" s="96" t="s">
        <v>12</v>
      </c>
      <c r="AK27" s="149"/>
    </row>
    <row r="28" spans="1:37">
      <c r="A28" s="155">
        <v>45903</v>
      </c>
      <c r="B28" s="140">
        <v>2</v>
      </c>
      <c r="C28" s="64">
        <v>5.1740000000000004</v>
      </c>
      <c r="D28" s="65">
        <v>-3.6</v>
      </c>
      <c r="E28" s="64">
        <v>9.82</v>
      </c>
      <c r="F28" s="65">
        <v>-8.6</v>
      </c>
      <c r="G28" s="64">
        <v>53.859000000000002</v>
      </c>
      <c r="H28" s="65">
        <v>0.3</v>
      </c>
      <c r="I28" s="64">
        <v>272.95999999999998</v>
      </c>
      <c r="J28" s="65">
        <v>1.7</v>
      </c>
      <c r="K28" s="64">
        <v>1142.537</v>
      </c>
      <c r="L28" s="65">
        <v>6.4</v>
      </c>
      <c r="M28" s="64">
        <v>2143.299</v>
      </c>
      <c r="N28" s="65">
        <v>-0.2</v>
      </c>
      <c r="O28" s="64">
        <v>4021.7629999999999</v>
      </c>
      <c r="P28" s="65">
        <v>-6.4</v>
      </c>
      <c r="Q28" s="64">
        <v>5226.9089999999997</v>
      </c>
      <c r="R28" s="65">
        <v>-2.7</v>
      </c>
      <c r="T28" s="155">
        <v>45902</v>
      </c>
      <c r="U28" s="140">
        <v>1</v>
      </c>
      <c r="V28" s="64">
        <v>4.6029999999999998</v>
      </c>
      <c r="W28" s="65">
        <v>-14.3</v>
      </c>
      <c r="X28" s="64">
        <v>10.092000000000001</v>
      </c>
      <c r="Y28" s="65">
        <v>-6</v>
      </c>
      <c r="Z28" s="64" t="s">
        <v>219</v>
      </c>
      <c r="AA28" s="67"/>
      <c r="AB28" s="64">
        <v>259.34100000000001</v>
      </c>
      <c r="AC28" s="65">
        <v>-3.4</v>
      </c>
      <c r="AD28" s="64" t="s">
        <v>220</v>
      </c>
      <c r="AE28" s="67"/>
      <c r="AF28" s="64">
        <v>2033.7619999999999</v>
      </c>
      <c r="AG28" s="65">
        <v>-5.3</v>
      </c>
      <c r="AH28" s="64">
        <v>3991.6550000000002</v>
      </c>
      <c r="AI28" s="65">
        <v>-7.1</v>
      </c>
      <c r="AJ28" s="64">
        <v>5415.2969999999996</v>
      </c>
      <c r="AK28" s="65">
        <v>0.8</v>
      </c>
    </row>
    <row r="29" spans="1:37" ht="16.149999999999999" customHeight="1">
      <c r="A29" s="156"/>
      <c r="B29" s="141"/>
      <c r="C29" s="64">
        <v>5.8140000000000001</v>
      </c>
      <c r="D29" s="65">
        <v>8.3000000000000007</v>
      </c>
      <c r="E29" s="64">
        <v>10.435</v>
      </c>
      <c r="F29" s="65">
        <v>-2.8</v>
      </c>
      <c r="G29" s="64">
        <v>58.488</v>
      </c>
      <c r="H29" s="65">
        <v>8.9</v>
      </c>
      <c r="I29" s="64">
        <v>284.74400000000003</v>
      </c>
      <c r="J29" s="65">
        <v>6</v>
      </c>
      <c r="K29" s="64">
        <v>1093.759</v>
      </c>
      <c r="L29" s="65">
        <v>1.8</v>
      </c>
      <c r="M29" s="64">
        <v>2046.7919999999999</v>
      </c>
      <c r="N29" s="65">
        <v>-4.7</v>
      </c>
      <c r="O29" s="64">
        <v>4157.4660000000003</v>
      </c>
      <c r="P29" s="65">
        <v>-3.2</v>
      </c>
      <c r="Q29" s="64">
        <v>5310.4459999999999</v>
      </c>
      <c r="R29" s="65">
        <v>-1.1000000000000001</v>
      </c>
      <c r="T29" s="156"/>
      <c r="U29" s="141"/>
      <c r="V29" s="64">
        <v>6.3019999999999996</v>
      </c>
      <c r="W29" s="65">
        <v>17.399999999999999</v>
      </c>
      <c r="X29" s="64" t="s">
        <v>221</v>
      </c>
      <c r="Y29" s="67"/>
      <c r="Z29" s="64" t="s">
        <v>222</v>
      </c>
      <c r="AA29" s="67"/>
      <c r="AB29" s="64" t="s">
        <v>223</v>
      </c>
      <c r="AC29" s="67"/>
      <c r="AD29" s="64" t="s">
        <v>224</v>
      </c>
      <c r="AE29" s="67"/>
      <c r="AF29" s="64">
        <v>2346.0149999999999</v>
      </c>
      <c r="AG29" s="65">
        <v>9.1999999999999993</v>
      </c>
      <c r="AH29" s="64">
        <v>4561.6549999999997</v>
      </c>
      <c r="AI29" s="65">
        <v>6.2</v>
      </c>
      <c r="AJ29" s="64">
        <v>5506.9269999999997</v>
      </c>
      <c r="AK29" s="65">
        <v>2.5</v>
      </c>
    </row>
    <row r="30" spans="1:37">
      <c r="A30" s="155">
        <v>45905</v>
      </c>
      <c r="B30" s="140">
        <v>4</v>
      </c>
      <c r="C30" s="64">
        <v>4.7729999999999997</v>
      </c>
      <c r="D30" s="65">
        <v>-11.1</v>
      </c>
      <c r="E30" s="64" t="s">
        <v>209</v>
      </c>
      <c r="F30" s="67"/>
      <c r="G30" s="64">
        <v>50.298000000000002</v>
      </c>
      <c r="H30" s="65">
        <v>-6.3</v>
      </c>
      <c r="I30" s="64">
        <v>243.101</v>
      </c>
      <c r="J30" s="65">
        <v>-9.5</v>
      </c>
      <c r="K30" s="64">
        <v>959.03</v>
      </c>
      <c r="L30" s="65">
        <v>-10.7</v>
      </c>
      <c r="M30" s="64">
        <v>2098.4989999999998</v>
      </c>
      <c r="N30" s="65">
        <v>-2.2999999999999998</v>
      </c>
      <c r="O30" s="64">
        <v>3784.002</v>
      </c>
      <c r="P30" s="65">
        <v>-11.9</v>
      </c>
      <c r="Q30" s="64">
        <v>5097.9350000000004</v>
      </c>
      <c r="R30" s="65">
        <v>-5.0999999999999996</v>
      </c>
      <c r="T30" s="20" t="s">
        <v>22</v>
      </c>
      <c r="U30" s="157"/>
      <c r="V30" s="64">
        <v>5.4530000000000003</v>
      </c>
      <c r="W30" s="150"/>
      <c r="X30" s="64">
        <v>10.092000000000001</v>
      </c>
      <c r="Y30" s="150"/>
      <c r="Z30" s="67"/>
      <c r="AA30" s="150"/>
      <c r="AB30" s="64">
        <v>259.34100000000001</v>
      </c>
      <c r="AC30" s="150"/>
      <c r="AD30" s="67"/>
      <c r="AE30" s="150"/>
      <c r="AF30" s="64">
        <v>2189.8890000000001</v>
      </c>
      <c r="AG30" s="150"/>
      <c r="AH30" s="64">
        <v>4276.6549999999997</v>
      </c>
      <c r="AI30" s="150"/>
      <c r="AJ30" s="64">
        <v>5461.1120000000001</v>
      </c>
      <c r="AK30" s="150"/>
    </row>
    <row r="31" spans="1:37">
      <c r="A31" s="156"/>
      <c r="B31" s="141"/>
      <c r="C31" s="64">
        <v>5.7850000000000001</v>
      </c>
      <c r="D31" s="65">
        <v>7.7</v>
      </c>
      <c r="E31" s="64">
        <v>11.635999999999999</v>
      </c>
      <c r="F31" s="65">
        <v>8.3000000000000007</v>
      </c>
      <c r="G31" s="64" t="s">
        <v>210</v>
      </c>
      <c r="H31" s="67"/>
      <c r="I31" s="64" t="s">
        <v>211</v>
      </c>
      <c r="J31" s="67"/>
      <c r="K31" s="64">
        <v>1229.873</v>
      </c>
      <c r="L31" s="65">
        <v>14.5</v>
      </c>
      <c r="M31" s="64">
        <v>2301.7199999999998</v>
      </c>
      <c r="N31" s="65">
        <v>7.2</v>
      </c>
      <c r="O31" s="64">
        <v>4807.8</v>
      </c>
      <c r="P31" s="65">
        <v>11.9</v>
      </c>
      <c r="Q31" s="64">
        <v>5760.6080000000002</v>
      </c>
      <c r="R31" s="65">
        <v>7.3</v>
      </c>
      <c r="T31" s="20" t="s">
        <v>3</v>
      </c>
      <c r="U31" s="158"/>
      <c r="V31" s="67"/>
      <c r="W31" s="151"/>
      <c r="X31" s="67"/>
      <c r="Y31" s="151"/>
      <c r="Z31" s="67"/>
      <c r="AA31" s="151"/>
      <c r="AB31" s="67"/>
      <c r="AC31" s="151"/>
      <c r="AD31" s="67"/>
      <c r="AE31" s="151"/>
      <c r="AF31" s="67"/>
      <c r="AG31" s="151"/>
      <c r="AH31" s="67"/>
      <c r="AI31" s="151"/>
      <c r="AJ31" s="67"/>
      <c r="AK31" s="151"/>
    </row>
    <row r="32" spans="1:37">
      <c r="A32" s="161">
        <v>45909</v>
      </c>
      <c r="B32" s="136">
        <v>7</v>
      </c>
      <c r="C32" s="64">
        <v>4.8070000000000004</v>
      </c>
      <c r="D32" s="65">
        <v>-10.5</v>
      </c>
      <c r="E32" s="64">
        <v>11.186</v>
      </c>
      <c r="F32" s="65">
        <v>4.2</v>
      </c>
      <c r="G32" s="64">
        <v>54.889000000000003</v>
      </c>
      <c r="H32" s="65">
        <v>2.2000000000000002</v>
      </c>
      <c r="I32" s="64">
        <v>266.06900000000002</v>
      </c>
      <c r="J32" s="65">
        <v>-0.9</v>
      </c>
      <c r="K32" s="64">
        <v>1093.605</v>
      </c>
      <c r="L32" s="65">
        <v>1.8</v>
      </c>
      <c r="M32" s="64">
        <v>2039.107</v>
      </c>
      <c r="N32" s="65">
        <v>-5.0999999999999996</v>
      </c>
      <c r="O32" s="64">
        <v>4021.6959999999999</v>
      </c>
      <c r="P32" s="65">
        <v>-6.4</v>
      </c>
      <c r="Q32" s="64">
        <v>5161.5159999999996</v>
      </c>
      <c r="R32" s="65">
        <v>-3.9</v>
      </c>
      <c r="T32" s="20" t="s">
        <v>61</v>
      </c>
      <c r="U32" s="158"/>
      <c r="V32" s="67"/>
      <c r="W32" s="151"/>
      <c r="X32" s="67"/>
      <c r="Y32" s="151"/>
      <c r="Z32" s="67"/>
      <c r="AA32" s="151"/>
      <c r="AB32" s="67"/>
      <c r="AC32" s="151"/>
      <c r="AD32" s="67"/>
      <c r="AE32" s="151"/>
      <c r="AF32" s="67"/>
      <c r="AG32" s="151"/>
      <c r="AH32" s="67"/>
      <c r="AI32" s="151"/>
      <c r="AJ32" s="67"/>
      <c r="AK32" s="151"/>
    </row>
    <row r="33" spans="1:37">
      <c r="A33" s="161"/>
      <c r="B33" s="136"/>
      <c r="C33" s="64">
        <v>5.8220000000000001</v>
      </c>
      <c r="D33" s="65">
        <v>8.4</v>
      </c>
      <c r="E33" s="64">
        <v>10.622</v>
      </c>
      <c r="F33" s="65">
        <v>-1.1000000000000001</v>
      </c>
      <c r="G33" s="64">
        <v>55.136000000000003</v>
      </c>
      <c r="H33" s="65">
        <v>2.7</v>
      </c>
      <c r="I33" s="64">
        <v>278.09100000000001</v>
      </c>
      <c r="J33" s="65">
        <v>3.6</v>
      </c>
      <c r="K33" s="64">
        <v>1081.5129999999999</v>
      </c>
      <c r="L33" s="65">
        <v>0.7</v>
      </c>
      <c r="M33" s="64">
        <v>2241.5410000000002</v>
      </c>
      <c r="N33" s="65">
        <v>4.4000000000000004</v>
      </c>
      <c r="O33" s="64">
        <v>4327.3310000000001</v>
      </c>
      <c r="P33" s="65">
        <v>0.7</v>
      </c>
      <c r="Q33" s="64">
        <v>5328.2809999999999</v>
      </c>
      <c r="R33" s="65">
        <v>-0.8</v>
      </c>
      <c r="T33" s="20" t="s">
        <v>64</v>
      </c>
      <c r="U33" s="158"/>
      <c r="V33" s="65">
        <v>1.5</v>
      </c>
      <c r="W33" s="151"/>
      <c r="X33" s="65">
        <v>-6</v>
      </c>
      <c r="Y33" s="151"/>
      <c r="Z33" s="67"/>
      <c r="AA33" s="151"/>
      <c r="AB33" s="65">
        <v>-3.4</v>
      </c>
      <c r="AC33" s="151"/>
      <c r="AD33" s="67"/>
      <c r="AE33" s="151"/>
      <c r="AF33" s="65">
        <v>1.9</v>
      </c>
      <c r="AG33" s="151"/>
      <c r="AH33" s="65">
        <v>-0.5</v>
      </c>
      <c r="AI33" s="151"/>
      <c r="AJ33" s="65">
        <v>1.7</v>
      </c>
      <c r="AK33" s="151"/>
    </row>
    <row r="34" spans="1:37">
      <c r="A34" s="161">
        <v>45912</v>
      </c>
      <c r="B34" s="136">
        <v>8</v>
      </c>
      <c r="C34" s="64">
        <v>4.9459999999999997</v>
      </c>
      <c r="D34" s="65">
        <v>-7.9</v>
      </c>
      <c r="E34" s="64">
        <v>11.371</v>
      </c>
      <c r="F34" s="65">
        <v>5.9</v>
      </c>
      <c r="G34" s="64">
        <v>54.228999999999999</v>
      </c>
      <c r="H34" s="65">
        <v>1</v>
      </c>
      <c r="I34" s="64">
        <v>270.58199999999999</v>
      </c>
      <c r="J34" s="65">
        <v>0.8</v>
      </c>
      <c r="K34" s="64">
        <v>1100.4359999999999</v>
      </c>
      <c r="L34" s="65">
        <v>2.5</v>
      </c>
      <c r="M34" s="64">
        <v>2164.3119999999999</v>
      </c>
      <c r="N34" s="65">
        <v>0.8</v>
      </c>
      <c r="O34" s="64">
        <v>4127.5379999999996</v>
      </c>
      <c r="P34" s="65">
        <v>-3.9</v>
      </c>
      <c r="Q34" s="64">
        <v>5130.1030000000001</v>
      </c>
      <c r="R34" s="65">
        <v>-4.5</v>
      </c>
      <c r="T34" s="20" t="s">
        <v>4</v>
      </c>
      <c r="U34" s="159"/>
      <c r="V34" s="66">
        <v>2</v>
      </c>
      <c r="W34" s="152"/>
      <c r="X34" s="66">
        <v>1</v>
      </c>
      <c r="Y34" s="152"/>
      <c r="Z34" s="67"/>
      <c r="AA34" s="152"/>
      <c r="AB34" s="66">
        <v>1</v>
      </c>
      <c r="AC34" s="152"/>
      <c r="AD34" s="67"/>
      <c r="AE34" s="152"/>
      <c r="AF34" s="66">
        <v>2</v>
      </c>
      <c r="AG34" s="152"/>
      <c r="AH34" s="66">
        <v>2</v>
      </c>
      <c r="AI34" s="152"/>
      <c r="AJ34" s="66">
        <v>2</v>
      </c>
      <c r="AK34" s="152"/>
    </row>
    <row r="35" spans="1:37">
      <c r="A35" s="161"/>
      <c r="B35" s="136"/>
      <c r="C35" s="64">
        <v>5.55</v>
      </c>
      <c r="D35" s="65">
        <v>3.4</v>
      </c>
      <c r="E35" s="64">
        <v>10.906000000000001</v>
      </c>
      <c r="F35" s="65">
        <v>1.5</v>
      </c>
      <c r="G35" s="64">
        <v>57.24</v>
      </c>
      <c r="H35" s="65">
        <v>6.6</v>
      </c>
      <c r="I35" s="64">
        <v>280.92200000000003</v>
      </c>
      <c r="J35" s="65">
        <v>4.5999999999999996</v>
      </c>
      <c r="K35" s="64">
        <v>1011.32</v>
      </c>
      <c r="L35" s="65">
        <v>-5.8</v>
      </c>
      <c r="M35" s="64">
        <v>2165.1819999999998</v>
      </c>
      <c r="N35" s="65">
        <v>0.8</v>
      </c>
      <c r="O35" s="64">
        <v>4182.866</v>
      </c>
      <c r="P35" s="65">
        <v>-2.6</v>
      </c>
      <c r="Q35" s="64">
        <v>5210.2209999999995</v>
      </c>
      <c r="R35" s="65">
        <v>-3</v>
      </c>
      <c r="T35" s="153" t="s">
        <v>152</v>
      </c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3"/>
      <c r="AJ35" s="153"/>
      <c r="AK35" s="153"/>
    </row>
    <row r="36" spans="1:37">
      <c r="A36" s="161">
        <v>45990</v>
      </c>
      <c r="B36" s="136">
        <v>10</v>
      </c>
      <c r="C36" s="64">
        <v>5.4240000000000004</v>
      </c>
      <c r="D36" s="65">
        <v>1</v>
      </c>
      <c r="E36" s="64">
        <v>10.834</v>
      </c>
      <c r="F36" s="65">
        <v>0.9</v>
      </c>
      <c r="G36" s="64">
        <v>56.472000000000001</v>
      </c>
      <c r="H36" s="65">
        <v>5.2</v>
      </c>
      <c r="I36" s="64">
        <v>287.07600000000002</v>
      </c>
      <c r="J36" s="65">
        <v>6.9</v>
      </c>
      <c r="K36" s="64">
        <v>1105.4570000000001</v>
      </c>
      <c r="L36" s="65">
        <v>2.9</v>
      </c>
      <c r="M36" s="64">
        <v>2119.5790000000002</v>
      </c>
      <c r="N36" s="65">
        <v>-1.3</v>
      </c>
      <c r="O36" s="64">
        <v>4151.7489999999998</v>
      </c>
      <c r="P36" s="65">
        <v>-3.4</v>
      </c>
      <c r="Q36" s="64">
        <v>5278.9040000000005</v>
      </c>
      <c r="R36" s="65">
        <v>-1.7</v>
      </c>
      <c r="T36" s="62" t="s">
        <v>191</v>
      </c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</row>
    <row r="37" spans="1:37">
      <c r="A37" s="161"/>
      <c r="B37" s="136"/>
      <c r="C37" s="64">
        <v>5.2229999999999999</v>
      </c>
      <c r="D37" s="65">
        <v>-2.7</v>
      </c>
      <c r="E37" s="64">
        <v>10.781000000000001</v>
      </c>
      <c r="F37" s="65">
        <v>0.4</v>
      </c>
      <c r="G37" s="64">
        <v>55.807000000000002</v>
      </c>
      <c r="H37" s="65">
        <v>3.9</v>
      </c>
      <c r="I37" s="64">
        <v>273.81599999999997</v>
      </c>
      <c r="J37" s="65">
        <v>2</v>
      </c>
      <c r="K37" s="64">
        <v>1135.01</v>
      </c>
      <c r="L37" s="65">
        <v>5.7</v>
      </c>
      <c r="M37" s="64">
        <v>2027.94</v>
      </c>
      <c r="N37" s="65">
        <v>-5.6</v>
      </c>
      <c r="O37" s="64">
        <v>4124.2</v>
      </c>
      <c r="P37" s="65">
        <v>-4</v>
      </c>
      <c r="Q37" s="64">
        <v>4826.1139999999996</v>
      </c>
      <c r="R37" s="65">
        <v>-10.1</v>
      </c>
    </row>
    <row r="38" spans="1:37" ht="14.1" customHeight="1">
      <c r="A38" s="20" t="s">
        <v>22</v>
      </c>
      <c r="B38" s="157"/>
      <c r="C38" s="64">
        <v>5.3319999999999999</v>
      </c>
      <c r="D38" s="150"/>
      <c r="E38" s="64">
        <v>10.843</v>
      </c>
      <c r="F38" s="150"/>
      <c r="G38" s="64">
        <v>55.158000000000001</v>
      </c>
      <c r="H38" s="150"/>
      <c r="I38" s="64">
        <v>273.04000000000002</v>
      </c>
      <c r="J38" s="150"/>
      <c r="K38" s="64">
        <v>1095.2539999999999</v>
      </c>
      <c r="L38" s="150"/>
      <c r="M38" s="64">
        <v>2134.797</v>
      </c>
      <c r="N38" s="150"/>
      <c r="O38" s="64">
        <v>4170.6409999999996</v>
      </c>
      <c r="P38" s="150"/>
      <c r="Q38" s="64">
        <v>5233.1040000000003</v>
      </c>
      <c r="R38" s="150"/>
    </row>
    <row r="39" spans="1:37" ht="14.1" customHeight="1">
      <c r="A39" s="20" t="s">
        <v>3</v>
      </c>
      <c r="B39" s="158"/>
      <c r="C39" s="64">
        <v>0.40899999999999997</v>
      </c>
      <c r="D39" s="151"/>
      <c r="E39" s="64">
        <v>0.53600000000000003</v>
      </c>
      <c r="F39" s="151"/>
      <c r="G39" s="64">
        <v>2.34</v>
      </c>
      <c r="H39" s="151"/>
      <c r="I39" s="64">
        <v>13.102</v>
      </c>
      <c r="J39" s="151"/>
      <c r="K39" s="64">
        <v>72.927000000000007</v>
      </c>
      <c r="L39" s="151"/>
      <c r="M39" s="64">
        <v>88.814999999999998</v>
      </c>
      <c r="N39" s="151"/>
      <c r="O39" s="64">
        <v>264.37700000000001</v>
      </c>
      <c r="P39" s="151"/>
      <c r="Q39" s="64">
        <v>234.66399999999999</v>
      </c>
      <c r="R39" s="151"/>
    </row>
    <row r="40" spans="1:37" ht="14.1" customHeight="1">
      <c r="A40" s="20" t="s">
        <v>61</v>
      </c>
      <c r="B40" s="158"/>
      <c r="C40" s="65">
        <v>7.7</v>
      </c>
      <c r="D40" s="151"/>
      <c r="E40" s="65">
        <v>4.9000000000000004</v>
      </c>
      <c r="F40" s="151"/>
      <c r="G40" s="65">
        <v>4.2</v>
      </c>
      <c r="H40" s="151"/>
      <c r="I40" s="65">
        <v>4.8</v>
      </c>
      <c r="J40" s="151"/>
      <c r="K40" s="65">
        <v>6.7</v>
      </c>
      <c r="L40" s="151"/>
      <c r="M40" s="65">
        <v>4.2</v>
      </c>
      <c r="N40" s="151"/>
      <c r="O40" s="65">
        <v>6.3</v>
      </c>
      <c r="P40" s="151"/>
      <c r="Q40" s="65">
        <v>4.5</v>
      </c>
      <c r="R40" s="151"/>
    </row>
    <row r="41" spans="1:37" ht="14.1" customHeight="1">
      <c r="A41" s="20" t="s">
        <v>64</v>
      </c>
      <c r="B41" s="158"/>
      <c r="C41" s="65">
        <v>-0.7</v>
      </c>
      <c r="D41" s="151"/>
      <c r="E41" s="65">
        <v>1</v>
      </c>
      <c r="F41" s="151"/>
      <c r="G41" s="65">
        <v>2.7</v>
      </c>
      <c r="H41" s="151"/>
      <c r="I41" s="65">
        <v>1.7</v>
      </c>
      <c r="J41" s="151"/>
      <c r="K41" s="65">
        <v>2</v>
      </c>
      <c r="L41" s="151"/>
      <c r="M41" s="65">
        <v>-0.6</v>
      </c>
      <c r="N41" s="151"/>
      <c r="O41" s="65">
        <v>-2.9</v>
      </c>
      <c r="P41" s="151"/>
      <c r="Q41" s="65">
        <v>-2.6</v>
      </c>
      <c r="R41" s="151"/>
    </row>
    <row r="42" spans="1:37" ht="14.1" customHeight="1">
      <c r="A42" s="20" t="s">
        <v>4</v>
      </c>
      <c r="B42" s="159"/>
      <c r="C42" s="66">
        <v>10</v>
      </c>
      <c r="D42" s="152"/>
      <c r="E42" s="66">
        <v>9</v>
      </c>
      <c r="F42" s="152"/>
      <c r="G42" s="66">
        <v>9</v>
      </c>
      <c r="H42" s="152"/>
      <c r="I42" s="66">
        <v>9</v>
      </c>
      <c r="J42" s="152"/>
      <c r="K42" s="66">
        <v>10</v>
      </c>
      <c r="L42" s="152"/>
      <c r="M42" s="66">
        <v>10</v>
      </c>
      <c r="N42" s="152"/>
      <c r="O42" s="66">
        <v>10</v>
      </c>
      <c r="P42" s="152"/>
      <c r="Q42" s="66">
        <v>10</v>
      </c>
      <c r="R42" s="152"/>
    </row>
    <row r="43" spans="1:37" ht="13.5" customHeight="1">
      <c r="A43" s="153" t="s">
        <v>152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66"/>
      <c r="P43" s="153"/>
      <c r="Q43" s="166"/>
      <c r="R43" s="153"/>
    </row>
  </sheetData>
  <mergeCells count="109">
    <mergeCell ref="A28:A29"/>
    <mergeCell ref="B28:B29"/>
    <mergeCell ref="A30:A31"/>
    <mergeCell ref="B30:B31"/>
    <mergeCell ref="L25:L27"/>
    <mergeCell ref="N25:N27"/>
    <mergeCell ref="P25:P27"/>
    <mergeCell ref="R25:R27"/>
    <mergeCell ref="H25:H27"/>
    <mergeCell ref="J25:J27"/>
    <mergeCell ref="A43:R43"/>
    <mergeCell ref="A32:A33"/>
    <mergeCell ref="B32:B33"/>
    <mergeCell ref="A36:A37"/>
    <mergeCell ref="B36:B37"/>
    <mergeCell ref="L38:L42"/>
    <mergeCell ref="N38:N42"/>
    <mergeCell ref="P38:P42"/>
    <mergeCell ref="R38:R42"/>
    <mergeCell ref="B38:B42"/>
    <mergeCell ref="D38:D42"/>
    <mergeCell ref="F38:F42"/>
    <mergeCell ref="H38:H42"/>
    <mergeCell ref="J38:J42"/>
    <mergeCell ref="A34:A35"/>
    <mergeCell ref="B34:B35"/>
    <mergeCell ref="F25:F27"/>
    <mergeCell ref="A23:D23"/>
    <mergeCell ref="H17:H21"/>
    <mergeCell ref="J17:J21"/>
    <mergeCell ref="F17:F21"/>
    <mergeCell ref="D17:D21"/>
    <mergeCell ref="A22:R22"/>
    <mergeCell ref="N17:N21"/>
    <mergeCell ref="R17:R21"/>
    <mergeCell ref="L17:L21"/>
    <mergeCell ref="P17:P21"/>
    <mergeCell ref="P6:P8"/>
    <mergeCell ref="R6:R8"/>
    <mergeCell ref="A6:A8"/>
    <mergeCell ref="B6:B8"/>
    <mergeCell ref="D6:D8"/>
    <mergeCell ref="F6:F8"/>
    <mergeCell ref="H6:H8"/>
    <mergeCell ref="B17:B21"/>
    <mergeCell ref="A2:E2"/>
    <mergeCell ref="A4:E4"/>
    <mergeCell ref="J6:J8"/>
    <mergeCell ref="L6:L8"/>
    <mergeCell ref="N6:N8"/>
    <mergeCell ref="AK6:AK8"/>
    <mergeCell ref="AA6:AA8"/>
    <mergeCell ref="AC6:AC8"/>
    <mergeCell ref="AE6:AE8"/>
    <mergeCell ref="AG6:AG8"/>
    <mergeCell ref="AI6:AI8"/>
    <mergeCell ref="T4:X4"/>
    <mergeCell ref="T6:T8"/>
    <mergeCell ref="U6:U8"/>
    <mergeCell ref="W6:W8"/>
    <mergeCell ref="Y6:Y8"/>
    <mergeCell ref="Y25:Y27"/>
    <mergeCell ref="AA25:AA27"/>
    <mergeCell ref="AC25:AC27"/>
    <mergeCell ref="AE25:AE27"/>
    <mergeCell ref="AG25:AG27"/>
    <mergeCell ref="AK11:AK15"/>
    <mergeCell ref="T16:AK16"/>
    <mergeCell ref="A9:A10"/>
    <mergeCell ref="B9:B10"/>
    <mergeCell ref="A11:A12"/>
    <mergeCell ref="B11:B12"/>
    <mergeCell ref="A13:A14"/>
    <mergeCell ref="B13:B14"/>
    <mergeCell ref="A15:A16"/>
    <mergeCell ref="B15:B16"/>
    <mergeCell ref="T9:T10"/>
    <mergeCell ref="U9:U10"/>
    <mergeCell ref="U11:U15"/>
    <mergeCell ref="AG11:AG15"/>
    <mergeCell ref="AI11:AI15"/>
    <mergeCell ref="A24:E24"/>
    <mergeCell ref="A25:A27"/>
    <mergeCell ref="B25:B27"/>
    <mergeCell ref="D25:D27"/>
    <mergeCell ref="AI25:AI27"/>
    <mergeCell ref="W11:W15"/>
    <mergeCell ref="Y11:Y15"/>
    <mergeCell ref="AA11:AA15"/>
    <mergeCell ref="AC11:AC15"/>
    <mergeCell ref="AE11:AE15"/>
    <mergeCell ref="T35:AK35"/>
    <mergeCell ref="T24:X24"/>
    <mergeCell ref="AK25:AK27"/>
    <mergeCell ref="T28:T29"/>
    <mergeCell ref="U28:U29"/>
    <mergeCell ref="U30:U34"/>
    <mergeCell ref="W30:W34"/>
    <mergeCell ref="Y30:Y34"/>
    <mergeCell ref="AA30:AA34"/>
    <mergeCell ref="AC30:AC34"/>
    <mergeCell ref="AE30:AE34"/>
    <mergeCell ref="AG30:AG34"/>
    <mergeCell ref="AI30:AI34"/>
    <mergeCell ref="AK30:AK34"/>
    <mergeCell ref="T23:X23"/>
    <mergeCell ref="T25:T27"/>
    <mergeCell ref="U25:U27"/>
    <mergeCell ref="W25:W27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25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2:J57"/>
  <sheetViews>
    <sheetView zoomScaleNormal="100" zoomScaleSheetLayoutView="100" workbookViewId="0">
      <selection activeCell="M25" sqref="M25"/>
    </sheetView>
  </sheetViews>
  <sheetFormatPr defaultColWidth="8.875" defaultRowHeight="13.5"/>
  <cols>
    <col min="1" max="1" width="16" style="33" customWidth="1"/>
    <col min="2" max="3" width="10.875" style="1" customWidth="1"/>
    <col min="4" max="4" width="10.875" style="29" customWidth="1"/>
    <col min="5" max="5" width="10.875" style="1" customWidth="1"/>
    <col min="6" max="6" width="10.875" style="29" customWidth="1"/>
    <col min="7" max="7" width="10.875" style="1" customWidth="1"/>
    <col min="8" max="8" width="10.875" style="29" customWidth="1"/>
    <col min="9" max="10" width="10.875" style="1" customWidth="1"/>
    <col min="11" max="16384" width="8.875" style="1"/>
  </cols>
  <sheetData>
    <row r="2" spans="1:10" s="14" customFormat="1" ht="15">
      <c r="A2" s="145" t="s">
        <v>55</v>
      </c>
      <c r="B2" s="145"/>
      <c r="C2" s="145"/>
      <c r="D2" s="145"/>
      <c r="E2" s="11"/>
      <c r="F2" s="27"/>
      <c r="G2" s="11"/>
      <c r="H2" s="27"/>
      <c r="I2" s="47"/>
    </row>
    <row r="3" spans="1:10" s="14" customFormat="1" ht="15">
      <c r="A3" s="74"/>
      <c r="B3" s="9"/>
      <c r="C3" s="9"/>
      <c r="D3" s="75"/>
      <c r="E3" s="11"/>
      <c r="F3" s="27"/>
      <c r="G3" s="11"/>
      <c r="H3" s="27"/>
      <c r="I3" s="47"/>
      <c r="J3" s="47"/>
    </row>
    <row r="4" spans="1:10" s="14" customFormat="1" ht="15">
      <c r="A4" s="76" t="s">
        <v>228</v>
      </c>
      <c r="B4" s="11"/>
      <c r="C4" s="11"/>
      <c r="D4" s="27"/>
      <c r="E4" s="11"/>
      <c r="F4" s="27"/>
      <c r="G4" s="11"/>
      <c r="H4" s="27"/>
      <c r="I4" s="47"/>
      <c r="J4" s="47"/>
    </row>
    <row r="5" spans="1:10" s="14" customFormat="1" ht="15">
      <c r="A5" s="76" t="s">
        <v>227</v>
      </c>
      <c r="B5" s="11"/>
      <c r="C5" s="11"/>
      <c r="D5" s="27"/>
      <c r="E5" s="11"/>
      <c r="F5" s="27"/>
      <c r="G5" s="11"/>
      <c r="H5" s="27"/>
      <c r="I5" s="47"/>
      <c r="J5" s="47"/>
    </row>
    <row r="6" spans="1:10" s="47" customFormat="1" ht="13.5" customHeight="1">
      <c r="A6" s="171" t="s">
        <v>20</v>
      </c>
      <c r="B6" s="136" t="s">
        <v>18</v>
      </c>
      <c r="C6" s="69" t="s">
        <v>2</v>
      </c>
      <c r="D6" s="168" t="s">
        <v>64</v>
      </c>
      <c r="E6" s="69" t="s">
        <v>225</v>
      </c>
      <c r="F6" s="168" t="s">
        <v>64</v>
      </c>
      <c r="G6" s="69" t="s">
        <v>226</v>
      </c>
      <c r="H6" s="168" t="s">
        <v>64</v>
      </c>
      <c r="I6" s="69" t="s">
        <v>1</v>
      </c>
      <c r="J6" s="168" t="s">
        <v>64</v>
      </c>
    </row>
    <row r="7" spans="1:10" s="14" customFormat="1">
      <c r="A7" s="171"/>
      <c r="B7" s="136"/>
      <c r="C7" s="77">
        <v>13.888999999999999</v>
      </c>
      <c r="D7" s="168"/>
      <c r="E7" s="77">
        <v>138.89400000000001</v>
      </c>
      <c r="F7" s="168"/>
      <c r="G7" s="77">
        <v>1388.942</v>
      </c>
      <c r="H7" s="168"/>
      <c r="I7" s="77">
        <v>3472.3539999999998</v>
      </c>
      <c r="J7" s="168"/>
    </row>
    <row r="8" spans="1:10" s="14" customFormat="1">
      <c r="A8" s="171"/>
      <c r="B8" s="136"/>
      <c r="C8" s="69" t="s">
        <v>23</v>
      </c>
      <c r="D8" s="168"/>
      <c r="E8" s="69" t="s">
        <v>23</v>
      </c>
      <c r="F8" s="168"/>
      <c r="G8" s="69" t="s">
        <v>23</v>
      </c>
      <c r="H8" s="168"/>
      <c r="I8" s="69" t="s">
        <v>23</v>
      </c>
      <c r="J8" s="168"/>
    </row>
    <row r="9" spans="1:10" s="14" customFormat="1">
      <c r="A9" s="169">
        <v>45990</v>
      </c>
      <c r="B9" s="170">
        <v>10</v>
      </c>
      <c r="C9" s="55">
        <v>12.778</v>
      </c>
      <c r="D9" s="57">
        <v>-8</v>
      </c>
      <c r="E9" s="55">
        <v>138.69399999999999</v>
      </c>
      <c r="F9" s="57">
        <v>-0.1</v>
      </c>
      <c r="G9" s="55">
        <v>1369.444</v>
      </c>
      <c r="H9" s="57">
        <v>-1.4</v>
      </c>
      <c r="I9" s="55">
        <v>3302.2089999999998</v>
      </c>
      <c r="J9" s="57">
        <v>-4.9000000000000004</v>
      </c>
    </row>
    <row r="10" spans="1:10" s="14" customFormat="1">
      <c r="A10" s="169"/>
      <c r="B10" s="170"/>
      <c r="C10" s="55">
        <v>13.865</v>
      </c>
      <c r="D10" s="57">
        <v>-0.2</v>
      </c>
      <c r="E10" s="55">
        <v>145.39400000000001</v>
      </c>
      <c r="F10" s="57">
        <v>4.7</v>
      </c>
      <c r="G10" s="55">
        <v>1358.3420000000001</v>
      </c>
      <c r="H10" s="57">
        <v>-2.2000000000000002</v>
      </c>
      <c r="I10" s="55">
        <v>3317.2440000000001</v>
      </c>
      <c r="J10" s="57">
        <v>-4.5</v>
      </c>
    </row>
    <row r="11" spans="1:10" s="14" customFormat="1">
      <c r="A11" s="169"/>
      <c r="B11" s="170"/>
      <c r="C11" s="55">
        <v>13.355</v>
      </c>
      <c r="D11" s="57">
        <v>-3.8</v>
      </c>
      <c r="E11" s="55">
        <v>142.977</v>
      </c>
      <c r="F11" s="57">
        <v>2.9</v>
      </c>
      <c r="G11" s="55">
        <v>1426.9749999999999</v>
      </c>
      <c r="H11" s="57">
        <v>2.7</v>
      </c>
      <c r="I11" s="55">
        <v>3308.777</v>
      </c>
      <c r="J11" s="57">
        <v>-4.7</v>
      </c>
    </row>
    <row r="12" spans="1:10" s="14" customFormat="1">
      <c r="A12" s="169"/>
      <c r="B12" s="170"/>
      <c r="C12" s="55">
        <v>13.08</v>
      </c>
      <c r="D12" s="57">
        <v>-5.8</v>
      </c>
      <c r="E12" s="55">
        <v>139.15299999999999</v>
      </c>
      <c r="F12" s="57">
        <v>0.2</v>
      </c>
      <c r="G12" s="55">
        <v>1337.2249999999999</v>
      </c>
      <c r="H12" s="57">
        <v>-3.7</v>
      </c>
      <c r="I12" s="55">
        <v>3323.2159999999999</v>
      </c>
      <c r="J12" s="57">
        <v>-4.3</v>
      </c>
    </row>
    <row r="13" spans="1:10" s="14" customFormat="1">
      <c r="A13" s="31" t="s">
        <v>189</v>
      </c>
      <c r="B13" s="147"/>
      <c r="C13" s="55">
        <v>13.27</v>
      </c>
      <c r="D13" s="167"/>
      <c r="E13" s="55">
        <v>141.55500000000001</v>
      </c>
      <c r="F13" s="167"/>
      <c r="G13" s="55">
        <v>1372.9970000000001</v>
      </c>
      <c r="H13" s="167"/>
      <c r="I13" s="55">
        <v>3312.8620000000001</v>
      </c>
      <c r="J13" s="167"/>
    </row>
    <row r="14" spans="1:10" s="14" customFormat="1">
      <c r="A14" s="31" t="s">
        <v>3</v>
      </c>
      <c r="B14" s="147"/>
      <c r="C14" s="55">
        <v>0.46200000000000002</v>
      </c>
      <c r="D14" s="167"/>
      <c r="E14" s="55">
        <v>3.2</v>
      </c>
      <c r="F14" s="167"/>
      <c r="G14" s="55">
        <v>38.387</v>
      </c>
      <c r="H14" s="167"/>
      <c r="I14" s="55">
        <v>9.2479999999999993</v>
      </c>
      <c r="J14" s="167"/>
    </row>
    <row r="15" spans="1:10" s="30" customFormat="1">
      <c r="A15" s="31" t="s">
        <v>61</v>
      </c>
      <c r="B15" s="147"/>
      <c r="C15" s="57">
        <v>3.5</v>
      </c>
      <c r="D15" s="167"/>
      <c r="E15" s="57">
        <v>2.2999999999999998</v>
      </c>
      <c r="F15" s="167"/>
      <c r="G15" s="57">
        <v>2.8</v>
      </c>
      <c r="H15" s="167"/>
      <c r="I15" s="57">
        <v>0.3</v>
      </c>
      <c r="J15" s="167"/>
    </row>
    <row r="16" spans="1:10" s="30" customFormat="1">
      <c r="A16" s="31" t="s">
        <v>64</v>
      </c>
      <c r="B16" s="147"/>
      <c r="C16" s="57">
        <v>-4.5</v>
      </c>
      <c r="D16" s="167"/>
      <c r="E16" s="57">
        <v>1.9</v>
      </c>
      <c r="F16" s="167"/>
      <c r="G16" s="57">
        <v>-1.1000000000000001</v>
      </c>
      <c r="H16" s="167"/>
      <c r="I16" s="57">
        <v>-4.5999999999999996</v>
      </c>
      <c r="J16" s="167"/>
    </row>
    <row r="17" spans="1:10" s="14" customFormat="1">
      <c r="A17" s="31" t="s">
        <v>4</v>
      </c>
      <c r="B17" s="147"/>
      <c r="C17" s="39">
        <v>4</v>
      </c>
      <c r="D17" s="167"/>
      <c r="E17" s="39">
        <v>4</v>
      </c>
      <c r="F17" s="167"/>
      <c r="G17" s="39">
        <v>4</v>
      </c>
      <c r="H17" s="167"/>
      <c r="I17" s="39">
        <v>4</v>
      </c>
      <c r="J17" s="167"/>
    </row>
    <row r="18" spans="1:10" s="14" customFormat="1">
      <c r="A18" s="32"/>
      <c r="B18" s="68"/>
    </row>
    <row r="19" spans="1:10" s="14" customFormat="1" ht="15">
      <c r="A19" s="76" t="s">
        <v>229</v>
      </c>
      <c r="B19" s="11"/>
      <c r="C19" s="11"/>
      <c r="D19" s="27"/>
      <c r="E19" s="11"/>
      <c r="F19" s="27"/>
      <c r="G19" s="11"/>
      <c r="H19" s="27"/>
      <c r="I19" s="47"/>
      <c r="J19" s="47"/>
    </row>
    <row r="20" spans="1:10" s="14" customFormat="1" ht="13.5" customHeight="1">
      <c r="A20" s="171" t="s">
        <v>20</v>
      </c>
      <c r="B20" s="136" t="s">
        <v>18</v>
      </c>
      <c r="C20" s="69" t="s">
        <v>2</v>
      </c>
      <c r="D20" s="168" t="s">
        <v>64</v>
      </c>
      <c r="E20" s="69" t="s">
        <v>225</v>
      </c>
      <c r="F20" s="168" t="s">
        <v>64</v>
      </c>
      <c r="G20" s="69" t="s">
        <v>226</v>
      </c>
      <c r="H20" s="168" t="s">
        <v>64</v>
      </c>
      <c r="I20" s="69" t="s">
        <v>1</v>
      </c>
      <c r="J20" s="168" t="s">
        <v>64</v>
      </c>
    </row>
    <row r="21" spans="1:10" s="25" customFormat="1">
      <c r="A21" s="171"/>
      <c r="B21" s="136"/>
      <c r="C21" s="71">
        <v>16.111000000000001</v>
      </c>
      <c r="D21" s="168"/>
      <c r="E21" s="71">
        <v>161.10499999999999</v>
      </c>
      <c r="F21" s="168"/>
      <c r="G21" s="71">
        <v>1611.05</v>
      </c>
      <c r="H21" s="168"/>
      <c r="I21" s="71">
        <v>4027.6260000000002</v>
      </c>
      <c r="J21" s="168"/>
    </row>
    <row r="22" spans="1:10" s="25" customFormat="1">
      <c r="A22" s="171"/>
      <c r="B22" s="136"/>
      <c r="C22" s="72" t="s">
        <v>23</v>
      </c>
      <c r="D22" s="168"/>
      <c r="E22" s="72" t="s">
        <v>23</v>
      </c>
      <c r="F22" s="168"/>
      <c r="G22" s="72" t="s">
        <v>23</v>
      </c>
      <c r="H22" s="168"/>
      <c r="I22" s="72" t="s">
        <v>23</v>
      </c>
      <c r="J22" s="168"/>
    </row>
    <row r="23" spans="1:10" s="25" customFormat="1">
      <c r="A23" s="155">
        <v>45912</v>
      </c>
      <c r="B23" s="140">
        <v>8</v>
      </c>
      <c r="C23" s="55">
        <v>16.597000000000001</v>
      </c>
      <c r="D23" s="57">
        <v>3</v>
      </c>
      <c r="E23" s="55">
        <v>160.631</v>
      </c>
      <c r="F23" s="57">
        <v>-0.3</v>
      </c>
      <c r="G23" s="55">
        <v>1605.338</v>
      </c>
      <c r="H23" s="57">
        <v>-0.4</v>
      </c>
      <c r="I23" s="55">
        <v>3758.0680000000002</v>
      </c>
      <c r="J23" s="57">
        <v>-6.7</v>
      </c>
    </row>
    <row r="24" spans="1:10" s="25" customFormat="1">
      <c r="A24" s="156"/>
      <c r="B24" s="141"/>
      <c r="C24" s="55">
        <v>17.440999999999999</v>
      </c>
      <c r="D24" s="57">
        <v>8.3000000000000007</v>
      </c>
      <c r="E24" s="55">
        <v>166.124</v>
      </c>
      <c r="F24" s="57">
        <v>3.1</v>
      </c>
      <c r="G24" s="55">
        <v>1608.3910000000001</v>
      </c>
      <c r="H24" s="57">
        <v>-0.2</v>
      </c>
      <c r="I24" s="55">
        <v>3956.2260000000001</v>
      </c>
      <c r="J24" s="57">
        <v>-1.8</v>
      </c>
    </row>
    <row r="25" spans="1:10" s="14" customFormat="1">
      <c r="A25" s="169">
        <v>45990</v>
      </c>
      <c r="B25" s="170">
        <v>10</v>
      </c>
      <c r="C25" s="55">
        <v>15.545</v>
      </c>
      <c r="D25" s="57">
        <v>-3.5</v>
      </c>
      <c r="E25" s="55">
        <v>159.05199999999999</v>
      </c>
      <c r="F25" s="57">
        <v>-1.3</v>
      </c>
      <c r="G25" s="55">
        <v>1567.0989999999999</v>
      </c>
      <c r="H25" s="57">
        <v>-2.7</v>
      </c>
      <c r="I25" s="55">
        <v>3748.6480000000001</v>
      </c>
      <c r="J25" s="57">
        <v>-6.9</v>
      </c>
    </row>
    <row r="26" spans="1:10" s="14" customFormat="1">
      <c r="A26" s="169"/>
      <c r="B26" s="170"/>
      <c r="C26" s="55">
        <v>15.835000000000001</v>
      </c>
      <c r="D26" s="57">
        <v>-1.7</v>
      </c>
      <c r="E26" s="55">
        <v>172.19499999999999</v>
      </c>
      <c r="F26" s="57">
        <v>6.9</v>
      </c>
      <c r="G26" s="55">
        <v>1566.761</v>
      </c>
      <c r="H26" s="57">
        <v>-2.7</v>
      </c>
      <c r="I26" s="55">
        <v>3708.1869999999999</v>
      </c>
      <c r="J26" s="57">
        <v>-7.9</v>
      </c>
    </row>
    <row r="27" spans="1:10" s="14" customFormat="1">
      <c r="A27" s="169"/>
      <c r="B27" s="170"/>
      <c r="C27" s="55">
        <v>16.042999999999999</v>
      </c>
      <c r="D27" s="57">
        <v>-0.4</v>
      </c>
      <c r="E27" s="55">
        <v>159.58799999999999</v>
      </c>
      <c r="F27" s="57">
        <v>-0.9</v>
      </c>
      <c r="G27" s="55">
        <v>1598.5260000000001</v>
      </c>
      <c r="H27" s="57">
        <v>-0.8</v>
      </c>
      <c r="I27" s="55">
        <v>3896.72</v>
      </c>
      <c r="J27" s="57">
        <v>-3.3</v>
      </c>
    </row>
    <row r="28" spans="1:10" s="14" customFormat="1">
      <c r="A28" s="169"/>
      <c r="B28" s="170"/>
      <c r="C28" s="55">
        <v>15.41</v>
      </c>
      <c r="D28" s="57">
        <v>-4.4000000000000004</v>
      </c>
      <c r="E28" s="55">
        <v>160.173</v>
      </c>
      <c r="F28" s="57">
        <v>-0.6</v>
      </c>
      <c r="G28" s="55">
        <v>1530.2670000000001</v>
      </c>
      <c r="H28" s="57">
        <v>-5</v>
      </c>
      <c r="I28" s="55">
        <v>3735.9360000000001</v>
      </c>
      <c r="J28" s="57">
        <v>-7.2</v>
      </c>
    </row>
    <row r="29" spans="1:10" s="14" customFormat="1">
      <c r="A29" s="31" t="s">
        <v>189</v>
      </c>
      <c r="B29" s="147"/>
      <c r="C29" s="55">
        <v>16.145</v>
      </c>
      <c r="D29" s="167"/>
      <c r="E29" s="55">
        <v>162.96100000000001</v>
      </c>
      <c r="F29" s="167"/>
      <c r="G29" s="55">
        <v>1579.3969999999999</v>
      </c>
      <c r="H29" s="167"/>
      <c r="I29" s="55">
        <v>3800.6309999999999</v>
      </c>
      <c r="J29" s="167"/>
    </row>
    <row r="30" spans="1:10" s="14" customFormat="1">
      <c r="A30" s="31" t="s">
        <v>3</v>
      </c>
      <c r="B30" s="147"/>
      <c r="C30" s="55">
        <v>0.76</v>
      </c>
      <c r="D30" s="167"/>
      <c r="E30" s="55">
        <v>5.1989999999999998</v>
      </c>
      <c r="F30" s="167"/>
      <c r="G30" s="55">
        <v>30.344999999999999</v>
      </c>
      <c r="H30" s="167"/>
      <c r="I30" s="55">
        <v>100.68600000000001</v>
      </c>
      <c r="J30" s="167"/>
    </row>
    <row r="31" spans="1:10" s="30" customFormat="1">
      <c r="A31" s="31" t="s">
        <v>61</v>
      </c>
      <c r="B31" s="147"/>
      <c r="C31" s="57">
        <v>4.7</v>
      </c>
      <c r="D31" s="167"/>
      <c r="E31" s="57">
        <v>3.2</v>
      </c>
      <c r="F31" s="167"/>
      <c r="G31" s="57">
        <v>1.9</v>
      </c>
      <c r="H31" s="167"/>
      <c r="I31" s="57">
        <v>2.6</v>
      </c>
      <c r="J31" s="167"/>
    </row>
    <row r="32" spans="1:10" s="30" customFormat="1">
      <c r="A32" s="31" t="s">
        <v>64</v>
      </c>
      <c r="B32" s="147"/>
      <c r="C32" s="57">
        <v>0.2</v>
      </c>
      <c r="D32" s="167"/>
      <c r="E32" s="57">
        <v>1.2</v>
      </c>
      <c r="F32" s="167"/>
      <c r="G32" s="57">
        <v>-2</v>
      </c>
      <c r="H32" s="167"/>
      <c r="I32" s="57">
        <v>-5.6</v>
      </c>
      <c r="J32" s="167"/>
    </row>
    <row r="33" spans="1:10" s="14" customFormat="1">
      <c r="A33" s="31" t="s">
        <v>4</v>
      </c>
      <c r="B33" s="147"/>
      <c r="C33" s="39">
        <v>6</v>
      </c>
      <c r="D33" s="167"/>
      <c r="E33" s="39">
        <v>6</v>
      </c>
      <c r="F33" s="167"/>
      <c r="G33" s="39">
        <v>6</v>
      </c>
      <c r="H33" s="167"/>
      <c r="I33" s="39">
        <v>6</v>
      </c>
      <c r="J33" s="167"/>
    </row>
    <row r="34" spans="1:10" s="3" customFormat="1">
      <c r="D34" s="28"/>
      <c r="F34" s="28"/>
      <c r="H34" s="28"/>
    </row>
    <row r="38" spans="1:10">
      <c r="A38" s="73"/>
    </row>
    <row r="56" spans="2:2">
      <c r="B56" s="47"/>
    </row>
    <row r="57" spans="2:2">
      <c r="B57" s="47"/>
    </row>
  </sheetData>
  <mergeCells count="29">
    <mergeCell ref="A23:A24"/>
    <mergeCell ref="B23:B24"/>
    <mergeCell ref="B13:B17"/>
    <mergeCell ref="A2:D2"/>
    <mergeCell ref="A6:A8"/>
    <mergeCell ref="B6:B8"/>
    <mergeCell ref="D6:D8"/>
    <mergeCell ref="F6:F8"/>
    <mergeCell ref="F20:F22"/>
    <mergeCell ref="H20:H22"/>
    <mergeCell ref="H13:H17"/>
    <mergeCell ref="D13:D17"/>
    <mergeCell ref="F13:F17"/>
    <mergeCell ref="J29:J33"/>
    <mergeCell ref="J6:J8"/>
    <mergeCell ref="A9:A12"/>
    <mergeCell ref="B9:B12"/>
    <mergeCell ref="J13:J17"/>
    <mergeCell ref="J20:J22"/>
    <mergeCell ref="H29:H33"/>
    <mergeCell ref="B29:B33"/>
    <mergeCell ref="D29:D33"/>
    <mergeCell ref="F29:F33"/>
    <mergeCell ref="A25:A28"/>
    <mergeCell ref="B25:B28"/>
    <mergeCell ref="H6:H8"/>
    <mergeCell ref="A20:A22"/>
    <mergeCell ref="B20:B22"/>
    <mergeCell ref="D20:D22"/>
  </mergeCells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 1632MV7生物分析方法学验证数据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  <pageSetUpPr fitToPage="1"/>
  </sheetPr>
  <dimension ref="A2:I54"/>
  <sheetViews>
    <sheetView topLeftCell="A16" zoomScaleNormal="100" zoomScaleSheetLayoutView="100" workbookViewId="0">
      <selection activeCell="I49" sqref="I49"/>
    </sheetView>
  </sheetViews>
  <sheetFormatPr defaultColWidth="8.875" defaultRowHeight="13.5"/>
  <cols>
    <col min="1" max="1" width="14.625" style="6" customWidth="1"/>
    <col min="2" max="2" width="15.5" style="6" customWidth="1"/>
    <col min="3" max="3" width="17.375" style="6" customWidth="1"/>
    <col min="4" max="4" width="13.25" style="6" customWidth="1"/>
    <col min="5" max="5" width="15.5" style="6" customWidth="1"/>
    <col min="6" max="8" width="8.875" style="6"/>
    <col min="9" max="9" width="15.25" style="6" customWidth="1"/>
    <col min="10" max="16384" width="8.875" style="6"/>
  </cols>
  <sheetData>
    <row r="2" spans="1:9">
      <c r="A2" s="8" t="s">
        <v>54</v>
      </c>
      <c r="B2" s="8"/>
    </row>
    <row r="3" spans="1:9">
      <c r="A3" s="8"/>
      <c r="B3" s="8"/>
    </row>
    <row r="4" spans="1:9">
      <c r="A4" s="6" t="s">
        <v>179</v>
      </c>
      <c r="B4" s="8"/>
      <c r="H4" s="4" t="s">
        <v>78</v>
      </c>
      <c r="I4" s="102">
        <v>45972.722222222219</v>
      </c>
    </row>
    <row r="5" spans="1:9" ht="15" customHeight="1">
      <c r="A5" s="172" t="s">
        <v>242</v>
      </c>
      <c r="B5" s="173"/>
      <c r="C5" s="173"/>
      <c r="D5" s="173"/>
      <c r="E5" s="119"/>
      <c r="H5" s="4" t="s">
        <v>79</v>
      </c>
      <c r="I5" s="102">
        <v>45973.646527777775</v>
      </c>
    </row>
    <row r="6" spans="1:9" ht="15" customHeight="1">
      <c r="A6" s="157"/>
      <c r="B6" s="137" t="s">
        <v>24</v>
      </c>
      <c r="C6" s="139"/>
      <c r="D6" s="136" t="s">
        <v>80</v>
      </c>
      <c r="E6" s="136"/>
      <c r="H6" s="4" t="s">
        <v>71</v>
      </c>
      <c r="I6" s="103">
        <f>(I5-I4)*24</f>
        <v>22.183333333348855</v>
      </c>
    </row>
    <row r="7" spans="1:9" ht="15" customHeight="1">
      <c r="A7" s="158"/>
      <c r="B7" s="175" t="s">
        <v>243</v>
      </c>
      <c r="C7" s="139"/>
      <c r="D7" s="176" t="s">
        <v>243</v>
      </c>
      <c r="E7" s="136"/>
    </row>
    <row r="8" spans="1:9" ht="15" customHeight="1">
      <c r="A8" s="158"/>
      <c r="B8" s="137" t="s">
        <v>63</v>
      </c>
      <c r="C8" s="139"/>
      <c r="D8" s="136" t="s">
        <v>63</v>
      </c>
      <c r="E8" s="136"/>
    </row>
    <row r="9" spans="1:9" ht="15" customHeight="1">
      <c r="A9" s="158"/>
      <c r="B9" s="64">
        <v>0.46300000000000002</v>
      </c>
      <c r="C9" s="20" t="s">
        <v>46</v>
      </c>
      <c r="D9" s="64">
        <v>1</v>
      </c>
      <c r="E9" s="20" t="s">
        <v>46</v>
      </c>
    </row>
    <row r="10" spans="1:9" ht="15" customHeight="1">
      <c r="A10" s="158"/>
      <c r="B10" s="137" t="s">
        <v>25</v>
      </c>
      <c r="C10" s="139"/>
      <c r="D10" s="136" t="s">
        <v>25</v>
      </c>
      <c r="E10" s="136"/>
    </row>
    <row r="11" spans="1:9" ht="15" customHeight="1">
      <c r="A11" s="159"/>
      <c r="B11" s="20" t="s">
        <v>47</v>
      </c>
      <c r="C11" s="20" t="s">
        <v>26</v>
      </c>
      <c r="D11" s="20" t="s">
        <v>47</v>
      </c>
      <c r="E11" s="20" t="s">
        <v>26</v>
      </c>
    </row>
    <row r="12" spans="1:9" ht="15" customHeight="1">
      <c r="A12" s="20">
        <v>1</v>
      </c>
      <c r="B12" s="78">
        <v>14.937829000000001</v>
      </c>
      <c r="C12" s="78">
        <v>14.580158000000001</v>
      </c>
      <c r="D12" s="78">
        <v>6.7258999999999999E-2</v>
      </c>
      <c r="E12" s="78">
        <v>7.0149000000000003E-2</v>
      </c>
      <c r="F12"/>
      <c r="G12"/>
    </row>
    <row r="13" spans="1:9" ht="15" customHeight="1">
      <c r="A13" s="20">
        <v>2</v>
      </c>
      <c r="B13" s="78">
        <v>14.661678999999999</v>
      </c>
      <c r="C13" s="78">
        <v>15.517564</v>
      </c>
      <c r="D13" s="78">
        <v>6.5905000000000005E-2</v>
      </c>
      <c r="E13" s="78">
        <v>7.1899000000000005E-2</v>
      </c>
      <c r="F13"/>
      <c r="G13"/>
    </row>
    <row r="14" spans="1:9" ht="15" customHeight="1">
      <c r="A14" s="20">
        <v>3</v>
      </c>
      <c r="B14" s="78">
        <v>14.584678</v>
      </c>
      <c r="C14" s="78">
        <v>15.81096</v>
      </c>
      <c r="D14" s="78">
        <v>6.4199000000000006E-2</v>
      </c>
      <c r="E14" s="78">
        <v>6.6570000000000004E-2</v>
      </c>
      <c r="F14"/>
      <c r="G14"/>
    </row>
    <row r="15" spans="1:9" ht="15" customHeight="1">
      <c r="A15" s="20">
        <v>4</v>
      </c>
      <c r="B15" s="78">
        <v>14.939458</v>
      </c>
      <c r="C15" s="78">
        <v>14.711722999999999</v>
      </c>
      <c r="D15" s="78">
        <v>6.6653000000000004E-2</v>
      </c>
      <c r="E15" s="78">
        <v>7.1884000000000003E-2</v>
      </c>
      <c r="F15"/>
      <c r="G15"/>
    </row>
    <row r="16" spans="1:9" ht="15" customHeight="1">
      <c r="A16" s="20">
        <v>5</v>
      </c>
      <c r="B16" s="78">
        <v>14.953294</v>
      </c>
      <c r="C16" s="78">
        <v>14.486494</v>
      </c>
      <c r="D16" s="78">
        <v>6.522E-2</v>
      </c>
      <c r="E16" s="78">
        <v>6.9962999999999997E-2</v>
      </c>
      <c r="F16"/>
      <c r="G16"/>
    </row>
    <row r="17" spans="1:7" ht="15" customHeight="1">
      <c r="A17" s="20">
        <v>6</v>
      </c>
      <c r="B17" s="78">
        <v>14.609832000000001</v>
      </c>
      <c r="C17" s="78">
        <v>14.249025</v>
      </c>
      <c r="D17" s="78">
        <v>6.4988000000000004E-2</v>
      </c>
      <c r="E17" s="78">
        <v>7.0371000000000003E-2</v>
      </c>
      <c r="F17"/>
      <c r="G17"/>
    </row>
    <row r="18" spans="1:7" ht="15" customHeight="1">
      <c r="A18" s="20" t="s">
        <v>22</v>
      </c>
      <c r="B18" s="34">
        <f>ROUND(AVERAGE(B12:B17),6)</f>
        <v>14.781128000000001</v>
      </c>
      <c r="C18" s="34">
        <f>ROUND(AVERAGE(C12:C17),6)</f>
        <v>14.892654</v>
      </c>
      <c r="D18" s="34">
        <f>ROUND(AVERAGE(D12:D17),6)</f>
        <v>6.5703999999999999E-2</v>
      </c>
      <c r="E18" s="34">
        <f>ROUND(AVERAGE(E12:E17),6)</f>
        <v>7.0139000000000007E-2</v>
      </c>
      <c r="F18" s="5"/>
    </row>
    <row r="19" spans="1:7" ht="15" customHeight="1">
      <c r="A19" s="20" t="s">
        <v>3</v>
      </c>
      <c r="B19" s="34">
        <f>ROUND(STDEV(B12:B17),6)</f>
        <v>0.179704</v>
      </c>
      <c r="C19" s="34">
        <f>ROUND(STDEV(C12:C17),6)</f>
        <v>0.623444</v>
      </c>
      <c r="D19" s="34">
        <f>ROUND(STDEV(D12:D17),6)</f>
        <v>1.129E-3</v>
      </c>
      <c r="E19" s="34">
        <f>ROUND(STDEV(E12:E17),6)</f>
        <v>1.9480000000000001E-3</v>
      </c>
      <c r="F19" s="5"/>
    </row>
    <row r="20" spans="1:7" ht="15" customHeight="1">
      <c r="A20" s="20" t="s">
        <v>61</v>
      </c>
      <c r="B20" s="35">
        <f>ROUND(B19/B18*100,1)</f>
        <v>1.2</v>
      </c>
      <c r="C20" s="35">
        <f>ROUND(C19/C18*100,1)</f>
        <v>4.2</v>
      </c>
      <c r="D20" s="35">
        <f>ROUND(D19/D18*100,1)</f>
        <v>1.7</v>
      </c>
      <c r="E20" s="35">
        <f>ROUND(E19/E18*100,1)</f>
        <v>2.8</v>
      </c>
      <c r="F20" s="5"/>
    </row>
    <row r="21" spans="1:7">
      <c r="A21" s="16" t="s">
        <v>112</v>
      </c>
      <c r="B21" s="174">
        <f>ROUND((C18-B18)/B18*100,1)</f>
        <v>0.8</v>
      </c>
      <c r="C21" s="174"/>
      <c r="D21" s="174">
        <f>ROUND((E18-D18)/D18*100,1)</f>
        <v>6.7</v>
      </c>
      <c r="E21" s="174"/>
    </row>
    <row r="23" spans="1:7" ht="26.25">
      <c r="B23" s="37" t="s">
        <v>244</v>
      </c>
      <c r="C23" s="20" t="s">
        <v>245</v>
      </c>
      <c r="D23" s="20" t="s">
        <v>246</v>
      </c>
      <c r="E23" s="38" t="s">
        <v>247</v>
      </c>
    </row>
    <row r="24" spans="1:7" ht="14.25">
      <c r="B24" s="104" t="s">
        <v>230</v>
      </c>
      <c r="C24" s="80">
        <v>7575127</v>
      </c>
      <c r="D24" s="80">
        <v>509492</v>
      </c>
      <c r="E24" s="81">
        <f>ROUND(D24/C24,6)</f>
        <v>6.7258999999999999E-2</v>
      </c>
      <c r="F24" s="70"/>
      <c r="G24" s="70"/>
    </row>
    <row r="25" spans="1:7" ht="14.25">
      <c r="B25" s="104" t="s">
        <v>231</v>
      </c>
      <c r="C25" s="80">
        <v>7782868</v>
      </c>
      <c r="D25" s="80">
        <v>512931</v>
      </c>
      <c r="E25" s="82">
        <f t="shared" ref="E25:E35" si="0">ROUND(D25/C25,6)</f>
        <v>6.5905000000000005E-2</v>
      </c>
      <c r="F25" s="70"/>
      <c r="G25" s="70"/>
    </row>
    <row r="26" spans="1:7" ht="14.25">
      <c r="B26" s="104" t="s">
        <v>232</v>
      </c>
      <c r="C26" s="80">
        <v>8041362</v>
      </c>
      <c r="D26" s="80">
        <v>516249</v>
      </c>
      <c r="E26" s="82">
        <f t="shared" si="0"/>
        <v>6.4199000000000006E-2</v>
      </c>
      <c r="F26" s="70"/>
      <c r="G26" s="70"/>
    </row>
    <row r="27" spans="1:7" ht="14.25">
      <c r="B27" s="104" t="s">
        <v>233</v>
      </c>
      <c r="C27" s="80">
        <v>7850604</v>
      </c>
      <c r="D27" s="80">
        <v>523267</v>
      </c>
      <c r="E27" s="82">
        <f t="shared" si="0"/>
        <v>6.6653000000000004E-2</v>
      </c>
      <c r="F27" s="70"/>
      <c r="G27" s="70"/>
    </row>
    <row r="28" spans="1:7" ht="14.25">
      <c r="B28" s="104" t="s">
        <v>234</v>
      </c>
      <c r="C28" s="80">
        <v>7986881</v>
      </c>
      <c r="D28" s="80">
        <v>520901</v>
      </c>
      <c r="E28" s="82">
        <f t="shared" si="0"/>
        <v>6.522E-2</v>
      </c>
      <c r="F28" s="70"/>
      <c r="G28" s="70"/>
    </row>
    <row r="29" spans="1:7" ht="14.25">
      <c r="B29" s="104" t="s">
        <v>235</v>
      </c>
      <c r="C29" s="80">
        <v>7663965</v>
      </c>
      <c r="D29" s="80">
        <v>498069</v>
      </c>
      <c r="E29" s="83">
        <f t="shared" si="0"/>
        <v>6.4988000000000004E-2</v>
      </c>
      <c r="F29" s="70"/>
      <c r="G29" s="70"/>
    </row>
    <row r="30" spans="1:7" ht="14.25">
      <c r="B30" s="104" t="s">
        <v>236</v>
      </c>
      <c r="C30" s="80">
        <v>7895285</v>
      </c>
      <c r="D30" s="80">
        <v>553848</v>
      </c>
      <c r="E30" s="81">
        <f t="shared" si="0"/>
        <v>7.0149000000000003E-2</v>
      </c>
      <c r="F30" s="70"/>
      <c r="G30" s="70"/>
    </row>
    <row r="31" spans="1:7" ht="14.25">
      <c r="B31" s="104" t="s">
        <v>237</v>
      </c>
      <c r="C31" s="80">
        <v>7692893</v>
      </c>
      <c r="D31" s="80">
        <v>553109</v>
      </c>
      <c r="E31" s="82">
        <f t="shared" si="0"/>
        <v>7.1899000000000005E-2</v>
      </c>
      <c r="F31" s="70"/>
      <c r="G31" s="70"/>
    </row>
    <row r="32" spans="1:7" ht="14.25">
      <c r="B32" s="104" t="s">
        <v>238</v>
      </c>
      <c r="C32" s="80">
        <v>7840767</v>
      </c>
      <c r="D32" s="80">
        <v>521962</v>
      </c>
      <c r="E32" s="82">
        <f t="shared" si="0"/>
        <v>6.6570000000000004E-2</v>
      </c>
      <c r="F32" s="70"/>
      <c r="G32" s="70"/>
    </row>
    <row r="33" spans="1:9" ht="14.25">
      <c r="B33" s="104" t="s">
        <v>239</v>
      </c>
      <c r="C33" s="80">
        <v>7860994</v>
      </c>
      <c r="D33" s="80">
        <v>565082</v>
      </c>
      <c r="E33" s="82">
        <f t="shared" si="0"/>
        <v>7.1884000000000003E-2</v>
      </c>
      <c r="F33" s="70"/>
      <c r="G33" s="70"/>
    </row>
    <row r="34" spans="1:9" ht="14.25">
      <c r="B34" s="104" t="s">
        <v>240</v>
      </c>
      <c r="C34" s="80">
        <v>7868640</v>
      </c>
      <c r="D34" s="80">
        <v>550510</v>
      </c>
      <c r="E34" s="82">
        <f t="shared" si="0"/>
        <v>6.9962999999999997E-2</v>
      </c>
      <c r="F34" s="70"/>
      <c r="G34" s="70"/>
    </row>
    <row r="35" spans="1:9" ht="14.25">
      <c r="B35" s="104" t="s">
        <v>241</v>
      </c>
      <c r="C35" s="80">
        <v>7844304</v>
      </c>
      <c r="D35" s="80">
        <v>552014</v>
      </c>
      <c r="E35" s="83">
        <f t="shared" si="0"/>
        <v>7.0371000000000003E-2</v>
      </c>
      <c r="F35" s="70"/>
      <c r="G35" s="70"/>
    </row>
    <row r="37" spans="1:9">
      <c r="A37" s="6" t="s">
        <v>370</v>
      </c>
      <c r="B37" s="8"/>
      <c r="H37" s="4" t="s">
        <v>81</v>
      </c>
      <c r="I37" s="102">
        <v>45972.722222222219</v>
      </c>
    </row>
    <row r="38" spans="1:9" ht="15" customHeight="1">
      <c r="A38" s="172" t="s">
        <v>242</v>
      </c>
      <c r="B38" s="177"/>
      <c r="C38" s="177"/>
      <c r="H38" s="4" t="s">
        <v>82</v>
      </c>
      <c r="I38" s="102">
        <v>45973.646527777775</v>
      </c>
    </row>
    <row r="39" spans="1:9" ht="15" customHeight="1">
      <c r="A39" s="157"/>
      <c r="B39" s="137" t="s">
        <v>24</v>
      </c>
      <c r="C39" s="139"/>
      <c r="H39" s="4" t="s">
        <v>71</v>
      </c>
      <c r="I39" s="103">
        <f>(I38-I37)*24</f>
        <v>22.183333333348855</v>
      </c>
    </row>
    <row r="40" spans="1:9" ht="15" customHeight="1">
      <c r="A40" s="158"/>
      <c r="B40" s="175" t="s">
        <v>243</v>
      </c>
      <c r="C40" s="139"/>
    </row>
    <row r="41" spans="1:9" ht="15" customHeight="1">
      <c r="A41" s="158"/>
      <c r="B41" s="137" t="s">
        <v>63</v>
      </c>
      <c r="C41" s="139"/>
    </row>
    <row r="42" spans="1:9" ht="15" customHeight="1">
      <c r="A42" s="158"/>
      <c r="B42" s="64">
        <v>0.53700000000000003</v>
      </c>
      <c r="C42" s="20" t="s">
        <v>46</v>
      </c>
    </row>
    <row r="43" spans="1:9" ht="15" customHeight="1">
      <c r="A43" s="158"/>
      <c r="B43" s="137" t="s">
        <v>25</v>
      </c>
      <c r="C43" s="139"/>
    </row>
    <row r="44" spans="1:9" ht="15" customHeight="1">
      <c r="A44" s="159"/>
      <c r="B44" s="20" t="s">
        <v>47</v>
      </c>
      <c r="C44" s="20" t="s">
        <v>26</v>
      </c>
    </row>
    <row r="45" spans="1:9" ht="15" customHeight="1">
      <c r="A45" s="20">
        <v>1</v>
      </c>
      <c r="B45" s="78">
        <v>5.1481110000000001</v>
      </c>
      <c r="C45" s="78">
        <v>5.4679599999999997</v>
      </c>
      <c r="D45"/>
      <c r="E45"/>
    </row>
    <row r="46" spans="1:9" ht="15" customHeight="1">
      <c r="A46" s="20">
        <v>2</v>
      </c>
      <c r="B46" s="78">
        <v>5.582274</v>
      </c>
      <c r="C46" s="78">
        <v>5.7295420000000004</v>
      </c>
      <c r="D46"/>
      <c r="E46"/>
    </row>
    <row r="47" spans="1:9" ht="15" customHeight="1">
      <c r="A47" s="20">
        <v>3</v>
      </c>
      <c r="B47" s="78">
        <v>5.5052630000000002</v>
      </c>
      <c r="C47" s="78">
        <v>5.1326200000000002</v>
      </c>
      <c r="D47"/>
      <c r="E47"/>
    </row>
    <row r="48" spans="1:9" ht="15" customHeight="1">
      <c r="A48" s="20">
        <v>4</v>
      </c>
      <c r="B48" s="78">
        <v>5.5437190000000003</v>
      </c>
      <c r="C48" s="78">
        <v>5.0305330000000001</v>
      </c>
      <c r="D48"/>
      <c r="E48"/>
    </row>
    <row r="49" spans="1:5" ht="15" customHeight="1">
      <c r="A49" s="20">
        <v>5</v>
      </c>
      <c r="B49" s="78">
        <v>5.6262080000000001</v>
      </c>
      <c r="C49" s="78">
        <v>5.4007800000000001</v>
      </c>
      <c r="D49"/>
      <c r="E49"/>
    </row>
    <row r="50" spans="1:5" ht="15" customHeight="1">
      <c r="A50" s="20">
        <v>6</v>
      </c>
      <c r="B50" s="78">
        <v>5.7219420000000003</v>
      </c>
      <c r="C50" s="78">
        <v>4.6129420000000003</v>
      </c>
      <c r="D50"/>
      <c r="E50"/>
    </row>
    <row r="51" spans="1:5" ht="15" customHeight="1">
      <c r="A51" s="20" t="s">
        <v>22</v>
      </c>
      <c r="B51" s="34">
        <f>ROUND(AVERAGE(B45:B50),6)</f>
        <v>5.5212529999999997</v>
      </c>
      <c r="C51" s="34">
        <f>ROUND(AVERAGE(C45:C50),6)</f>
        <v>5.229063</v>
      </c>
      <c r="D51" s="5"/>
    </row>
    <row r="52" spans="1:5" ht="15" customHeight="1">
      <c r="A52" s="20" t="s">
        <v>3</v>
      </c>
      <c r="B52" s="34">
        <f>ROUND(STDEV(B45:B50),6)</f>
        <v>0.19749</v>
      </c>
      <c r="C52" s="34">
        <f>ROUND(STDEV(C45:C50),6)</f>
        <v>0.39124399999999998</v>
      </c>
      <c r="D52" s="5"/>
    </row>
    <row r="53" spans="1:5" ht="15" customHeight="1">
      <c r="A53" s="20" t="s">
        <v>110</v>
      </c>
      <c r="B53" s="35">
        <f>ROUND(B52/B51*100,1)</f>
        <v>3.6</v>
      </c>
      <c r="C53" s="35">
        <f>ROUND(C52/C51*100,1)</f>
        <v>7.5</v>
      </c>
      <c r="D53" s="5"/>
    </row>
    <row r="54" spans="1:5">
      <c r="A54" s="16" t="s">
        <v>112</v>
      </c>
      <c r="B54" s="174">
        <f>ROUND((C51-B51)/B51*100,1)</f>
        <v>-5.3</v>
      </c>
      <c r="C54" s="174"/>
    </row>
  </sheetData>
  <mergeCells count="19">
    <mergeCell ref="A38:C38"/>
    <mergeCell ref="B21:C21"/>
    <mergeCell ref="D21:E21"/>
    <mergeCell ref="A5:E5"/>
    <mergeCell ref="B54:C54"/>
    <mergeCell ref="A39:A44"/>
    <mergeCell ref="B39:C39"/>
    <mergeCell ref="B40:C40"/>
    <mergeCell ref="B41:C41"/>
    <mergeCell ref="B43:C43"/>
    <mergeCell ref="A6:A11"/>
    <mergeCell ref="B6:C6"/>
    <mergeCell ref="B7:C7"/>
    <mergeCell ref="B8:C8"/>
    <mergeCell ref="D8:E8"/>
    <mergeCell ref="D10:E10"/>
    <mergeCell ref="B10:C10"/>
    <mergeCell ref="D6:E6"/>
    <mergeCell ref="D7:E7"/>
  </mergeCells>
  <phoneticPr fontId="3" type="noConversion"/>
  <conditionalFormatting sqref="F45:G50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H12:I17">
    <cfRule type="colorScale" priority="3">
      <colorScale>
        <cfvo type="num" val="0"/>
        <cfvo type="num" val="2"/>
        <color rgb="FFFF7128"/>
        <color rgb="FFFFEF9C"/>
      </colorScale>
    </cfRule>
  </conditionalFormatting>
  <conditionalFormatting sqref="H24:I35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71" orientation="portrait" r:id="rId1"/>
  <headerFooter>
    <oddHeader>&amp;C 1632MV7生物分析方法学验证数据</oddHeader>
    <oddFooter>&amp;C第&amp;P页，共&amp;N页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  <pageSetUpPr fitToPage="1"/>
  </sheetPr>
  <dimension ref="A2:M56"/>
  <sheetViews>
    <sheetView topLeftCell="A4" zoomScaleNormal="100" zoomScaleSheetLayoutView="100" workbookViewId="0">
      <selection activeCell="E24" sqref="E24:E29"/>
    </sheetView>
  </sheetViews>
  <sheetFormatPr defaultColWidth="8.875" defaultRowHeight="13.5"/>
  <cols>
    <col min="1" max="1" width="15.375" style="6" customWidth="1"/>
    <col min="2" max="5" width="16.875" style="6" customWidth="1"/>
    <col min="6" max="6" width="25.25" style="6" customWidth="1"/>
    <col min="7" max="7" width="15.625" style="6" customWidth="1"/>
    <col min="8" max="8" width="15.75" style="6" customWidth="1"/>
    <col min="9" max="9" width="13.125" style="6" customWidth="1"/>
    <col min="10" max="10" width="15.875" style="6" customWidth="1"/>
    <col min="11" max="16384" width="8.875" style="6"/>
  </cols>
  <sheetData>
    <row r="2" spans="1:10">
      <c r="A2" s="62" t="s">
        <v>255</v>
      </c>
    </row>
    <row r="4" spans="1:10">
      <c r="A4" s="6" t="s">
        <v>179</v>
      </c>
      <c r="G4" s="4" t="s">
        <v>74</v>
      </c>
      <c r="H4" s="102">
        <v>45972.725694444445</v>
      </c>
    </row>
    <row r="5" spans="1:10" s="5" customFormat="1" ht="15" customHeight="1">
      <c r="A5" s="172" t="s">
        <v>242</v>
      </c>
      <c r="B5" s="173"/>
      <c r="C5" s="173"/>
      <c r="D5" s="173"/>
      <c r="E5" s="119"/>
      <c r="G5" s="4" t="s">
        <v>75</v>
      </c>
      <c r="H5" s="102">
        <v>45973.646527777775</v>
      </c>
    </row>
    <row r="6" spans="1:10" s="5" customFormat="1" ht="15" customHeight="1">
      <c r="A6" s="147"/>
      <c r="B6" s="136" t="s">
        <v>0</v>
      </c>
      <c r="C6" s="136"/>
      <c r="D6" s="136" t="s">
        <v>17</v>
      </c>
      <c r="E6" s="136"/>
      <c r="G6" s="4" t="s">
        <v>71</v>
      </c>
      <c r="H6" s="103">
        <f>(H5-H4)*24</f>
        <v>22.099999999918509</v>
      </c>
    </row>
    <row r="7" spans="1:10" s="5" customFormat="1" ht="15" customHeight="1">
      <c r="A7" s="147"/>
      <c r="B7" s="175" t="s">
        <v>243</v>
      </c>
      <c r="C7" s="139"/>
      <c r="D7" s="176" t="s">
        <v>243</v>
      </c>
      <c r="E7" s="136"/>
    </row>
    <row r="8" spans="1:10" s="5" customFormat="1" ht="15" customHeight="1">
      <c r="A8" s="147"/>
      <c r="B8" s="136" t="s">
        <v>63</v>
      </c>
      <c r="C8" s="136"/>
      <c r="D8" s="136" t="s">
        <v>63</v>
      </c>
      <c r="E8" s="136"/>
      <c r="G8" s="6"/>
      <c r="H8" s="6"/>
      <c r="I8" s="6"/>
      <c r="J8" s="6"/>
    </row>
    <row r="9" spans="1:10" s="5" customFormat="1" ht="15" customHeight="1">
      <c r="A9" s="147"/>
      <c r="B9" s="64">
        <v>92.596000000000004</v>
      </c>
      <c r="C9" s="20" t="s">
        <v>23</v>
      </c>
      <c r="D9" s="64">
        <v>2500</v>
      </c>
      <c r="E9" s="20" t="s">
        <v>23</v>
      </c>
      <c r="G9" s="6"/>
      <c r="H9" s="6"/>
      <c r="I9" s="6"/>
      <c r="J9" s="6"/>
    </row>
    <row r="10" spans="1:10" s="5" customFormat="1" ht="15" customHeight="1">
      <c r="A10" s="147"/>
      <c r="B10" s="136" t="s">
        <v>25</v>
      </c>
      <c r="C10" s="136"/>
      <c r="D10" s="136" t="s">
        <v>25</v>
      </c>
      <c r="E10" s="136"/>
      <c r="G10" s="6"/>
      <c r="H10" s="6"/>
      <c r="I10" s="6"/>
      <c r="J10" s="6"/>
    </row>
    <row r="11" spans="1:10" s="5" customFormat="1" ht="15" customHeight="1">
      <c r="A11" s="147"/>
      <c r="B11" s="20" t="s">
        <v>47</v>
      </c>
      <c r="C11" s="20" t="s">
        <v>26</v>
      </c>
      <c r="D11" s="20" t="s">
        <v>47</v>
      </c>
      <c r="E11" s="20" t="s">
        <v>26</v>
      </c>
      <c r="G11" s="6"/>
      <c r="H11" s="6"/>
      <c r="I11" s="6"/>
      <c r="J11" s="6"/>
    </row>
    <row r="12" spans="1:10" s="5" customFormat="1" ht="15" customHeight="1">
      <c r="A12" s="20">
        <v>1</v>
      </c>
      <c r="B12" s="78">
        <v>1.2635E-2</v>
      </c>
      <c r="C12" s="78">
        <v>1.4992999999999999E-2</v>
      </c>
      <c r="D12" s="78">
        <v>6.7944000000000004E-2</v>
      </c>
      <c r="E12" s="78">
        <v>6.9788000000000003E-2</v>
      </c>
      <c r="F12"/>
      <c r="G12"/>
      <c r="H12" s="6"/>
      <c r="I12" s="6"/>
      <c r="J12" s="6"/>
    </row>
    <row r="13" spans="1:10" s="5" customFormat="1" ht="15" customHeight="1">
      <c r="A13" s="20">
        <v>2</v>
      </c>
      <c r="B13" s="78">
        <v>1.4383E-2</v>
      </c>
      <c r="C13" s="78">
        <v>1.4685E-2</v>
      </c>
      <c r="D13" s="78">
        <v>7.0068000000000005E-2</v>
      </c>
      <c r="E13" s="78">
        <v>7.3798000000000002E-2</v>
      </c>
      <c r="F13"/>
      <c r="G13"/>
      <c r="H13" s="6"/>
      <c r="I13" s="6"/>
      <c r="J13" s="6"/>
    </row>
    <row r="14" spans="1:10" s="5" customFormat="1" ht="15" customHeight="1">
      <c r="A14" s="20">
        <v>3</v>
      </c>
      <c r="B14" s="78">
        <v>1.4090999999999999E-2</v>
      </c>
      <c r="C14" s="78">
        <v>1.3056E-2</v>
      </c>
      <c r="D14" s="78">
        <v>6.4890000000000003E-2</v>
      </c>
      <c r="E14" s="78">
        <v>7.1157999999999999E-2</v>
      </c>
      <c r="F14"/>
      <c r="G14"/>
      <c r="H14" s="6"/>
      <c r="I14" s="6"/>
      <c r="J14" s="6"/>
    </row>
    <row r="15" spans="1:10" s="5" customFormat="1" ht="15" customHeight="1">
      <c r="A15" s="20">
        <v>4</v>
      </c>
      <c r="B15" s="78">
        <v>1.1586000000000001E-2</v>
      </c>
      <c r="C15" s="78">
        <v>1.3511E-2</v>
      </c>
      <c r="D15" s="78">
        <v>6.8029999999999993E-2</v>
      </c>
      <c r="E15" s="78">
        <v>7.3332999999999995E-2</v>
      </c>
      <c r="F15"/>
      <c r="G15"/>
      <c r="H15" s="6"/>
      <c r="I15" s="6"/>
      <c r="J15" s="6"/>
    </row>
    <row r="16" spans="1:10" s="5" customFormat="1" ht="15" customHeight="1">
      <c r="A16" s="20">
        <v>5</v>
      </c>
      <c r="B16" s="78">
        <v>1.3922E-2</v>
      </c>
      <c r="C16" s="78">
        <v>1.504E-2</v>
      </c>
      <c r="D16" s="78">
        <v>6.7617999999999998E-2</v>
      </c>
      <c r="E16" s="78">
        <v>7.2843000000000005E-2</v>
      </c>
      <c r="F16"/>
      <c r="G16"/>
      <c r="H16" s="6"/>
      <c r="I16" s="6"/>
      <c r="J16" s="6"/>
    </row>
    <row r="17" spans="1:13" s="5" customFormat="1" ht="15" customHeight="1">
      <c r="A17" s="20">
        <v>6</v>
      </c>
      <c r="B17" s="78">
        <v>1.4907E-2</v>
      </c>
      <c r="C17" s="78">
        <v>1.4631999999999999E-2</v>
      </c>
      <c r="D17" s="78">
        <v>6.6508999999999999E-2</v>
      </c>
      <c r="E17" s="78">
        <v>7.1774000000000004E-2</v>
      </c>
      <c r="F17"/>
      <c r="G17"/>
      <c r="H17" s="6"/>
      <c r="I17" s="6"/>
      <c r="J17" s="6"/>
    </row>
    <row r="18" spans="1:13" s="5" customFormat="1" ht="15" customHeight="1">
      <c r="A18" s="20" t="s">
        <v>22</v>
      </c>
      <c r="B18" s="34">
        <f t="shared" ref="B18:C18" si="0">ROUND(AVERAGE(B12:B17),6)</f>
        <v>1.3587E-2</v>
      </c>
      <c r="C18" s="34">
        <f t="shared" si="0"/>
        <v>1.4319999999999999E-2</v>
      </c>
      <c r="D18" s="34">
        <f t="shared" ref="D18:E18" si="1">ROUND(AVERAGE(D12:D17),6)</f>
        <v>6.7510000000000001E-2</v>
      </c>
      <c r="E18" s="34">
        <f t="shared" si="1"/>
        <v>7.2116E-2</v>
      </c>
      <c r="F18"/>
      <c r="G18"/>
      <c r="H18" s="6"/>
      <c r="I18" s="6"/>
      <c r="J18" s="6"/>
    </row>
    <row r="19" spans="1:13" s="5" customFormat="1" ht="15" customHeight="1">
      <c r="A19" s="20" t="s">
        <v>3</v>
      </c>
      <c r="B19" s="34">
        <f t="shared" ref="B19:C19" si="2">ROUND(STDEV(B12:B17),6)</f>
        <v>1.237E-3</v>
      </c>
      <c r="C19" s="34">
        <f t="shared" si="2"/>
        <v>8.3100000000000003E-4</v>
      </c>
      <c r="D19" s="34">
        <f t="shared" ref="D19:E19" si="3">ROUND(STDEV(D12:D17),6)</f>
        <v>1.725E-3</v>
      </c>
      <c r="E19" s="34">
        <f t="shared" si="3"/>
        <v>1.503E-3</v>
      </c>
      <c r="F19"/>
      <c r="G19"/>
      <c r="H19" s="6"/>
      <c r="I19" s="6"/>
      <c r="J19" s="6"/>
    </row>
    <row r="20" spans="1:13" s="5" customFormat="1" ht="15" customHeight="1">
      <c r="A20" s="20" t="s">
        <v>61</v>
      </c>
      <c r="B20" s="35">
        <f t="shared" ref="B20:C20" si="4">ROUND(B19/B18*100,1)</f>
        <v>9.1</v>
      </c>
      <c r="C20" s="35">
        <f t="shared" si="4"/>
        <v>5.8</v>
      </c>
      <c r="D20" s="35">
        <f t="shared" ref="D20:E20" si="5">ROUND(D19/D18*100,1)</f>
        <v>2.6</v>
      </c>
      <c r="E20" s="35">
        <f t="shared" si="5"/>
        <v>2.1</v>
      </c>
      <c r="F20"/>
      <c r="G20"/>
      <c r="H20" s="6"/>
      <c r="I20" s="6"/>
      <c r="J20" s="6"/>
    </row>
    <row r="21" spans="1:13" ht="14.25">
      <c r="A21" s="16" t="s">
        <v>112</v>
      </c>
      <c r="B21" s="174">
        <f>ROUND((C18-B18)/B18*100,1)</f>
        <v>5.4</v>
      </c>
      <c r="C21" s="174"/>
      <c r="D21" s="174">
        <f>ROUND((E18-D18)/D18*100,1)</f>
        <v>6.8</v>
      </c>
      <c r="E21" s="174"/>
      <c r="F21"/>
      <c r="G21"/>
    </row>
    <row r="22" spans="1:13" ht="14.25">
      <c r="F22"/>
      <c r="G22"/>
    </row>
    <row r="23" spans="1:13" ht="26.25">
      <c r="B23" s="37" t="s">
        <v>244</v>
      </c>
      <c r="C23" s="20" t="s">
        <v>245</v>
      </c>
      <c r="D23" s="20" t="s">
        <v>246</v>
      </c>
      <c r="E23" s="38" t="s">
        <v>247</v>
      </c>
      <c r="F23"/>
      <c r="G23"/>
    </row>
    <row r="24" spans="1:13" ht="15">
      <c r="B24" s="104" t="s">
        <v>256</v>
      </c>
      <c r="C24" s="80">
        <v>7570700</v>
      </c>
      <c r="D24" s="80">
        <v>514386</v>
      </c>
      <c r="E24" s="81">
        <f t="shared" ref="E24:E35" si="6">ROUND(D24/C24,6)</f>
        <v>6.7944000000000004E-2</v>
      </c>
      <c r="F24" s="70"/>
      <c r="G24" s="70"/>
      <c r="M24" s="11"/>
    </row>
    <row r="25" spans="1:13" ht="15">
      <c r="B25" s="104" t="s">
        <v>257</v>
      </c>
      <c r="C25" s="80">
        <v>7299167</v>
      </c>
      <c r="D25" s="80">
        <v>511437</v>
      </c>
      <c r="E25" s="82">
        <f t="shared" si="6"/>
        <v>7.0068000000000005E-2</v>
      </c>
      <c r="F25" s="70"/>
      <c r="G25" s="70"/>
      <c r="M25" s="11"/>
    </row>
    <row r="26" spans="1:13" ht="15">
      <c r="B26" s="104" t="s">
        <v>258</v>
      </c>
      <c r="C26" s="80">
        <v>7900983</v>
      </c>
      <c r="D26" s="80">
        <v>512698</v>
      </c>
      <c r="E26" s="82">
        <f t="shared" si="6"/>
        <v>6.4890000000000003E-2</v>
      </c>
      <c r="F26" s="70"/>
      <c r="G26" s="70"/>
      <c r="M26" s="11"/>
    </row>
    <row r="27" spans="1:13" ht="15">
      <c r="B27" s="104" t="s">
        <v>259</v>
      </c>
      <c r="C27" s="80">
        <v>7638560</v>
      </c>
      <c r="D27" s="80">
        <v>519652</v>
      </c>
      <c r="E27" s="82">
        <f t="shared" si="6"/>
        <v>6.8029999999999993E-2</v>
      </c>
      <c r="F27" s="70"/>
      <c r="G27" s="70"/>
      <c r="M27" s="11"/>
    </row>
    <row r="28" spans="1:13" ht="15">
      <c r="B28" s="104" t="s">
        <v>260</v>
      </c>
      <c r="C28" s="80">
        <v>7658681</v>
      </c>
      <c r="D28" s="80">
        <v>517865</v>
      </c>
      <c r="E28" s="82">
        <f t="shared" si="6"/>
        <v>6.7617999999999998E-2</v>
      </c>
      <c r="F28" s="70"/>
      <c r="G28" s="70"/>
      <c r="M28" s="11"/>
    </row>
    <row r="29" spans="1:13" ht="15">
      <c r="B29" s="104" t="s">
        <v>261</v>
      </c>
      <c r="C29" s="80">
        <v>7938176</v>
      </c>
      <c r="D29" s="80">
        <v>527963</v>
      </c>
      <c r="E29" s="82">
        <f t="shared" si="6"/>
        <v>6.6508999999999999E-2</v>
      </c>
      <c r="F29" s="70"/>
      <c r="G29" s="70"/>
      <c r="M29" s="11"/>
    </row>
    <row r="30" spans="1:13" ht="15">
      <c r="B30" s="104" t="s">
        <v>262</v>
      </c>
      <c r="C30" s="80">
        <v>7872564</v>
      </c>
      <c r="D30" s="80">
        <v>549414</v>
      </c>
      <c r="E30" s="82">
        <f t="shared" si="6"/>
        <v>6.9788000000000003E-2</v>
      </c>
      <c r="F30" s="70"/>
      <c r="G30" s="70"/>
      <c r="M30" s="11"/>
    </row>
    <row r="31" spans="1:13" ht="15">
      <c r="B31" s="104" t="s">
        <v>263</v>
      </c>
      <c r="C31" s="80">
        <v>7855459</v>
      </c>
      <c r="D31" s="80">
        <v>579714</v>
      </c>
      <c r="E31" s="82">
        <f t="shared" si="6"/>
        <v>7.3798000000000002E-2</v>
      </c>
      <c r="F31" s="70"/>
      <c r="G31" s="70"/>
      <c r="M31" s="11"/>
    </row>
    <row r="32" spans="1:13" ht="15">
      <c r="B32" s="104" t="s">
        <v>264</v>
      </c>
      <c r="C32" s="80">
        <v>7763183</v>
      </c>
      <c r="D32" s="80">
        <v>552409</v>
      </c>
      <c r="E32" s="82">
        <f t="shared" si="6"/>
        <v>7.1157999999999999E-2</v>
      </c>
      <c r="F32" s="70"/>
      <c r="G32" s="70"/>
      <c r="M32" s="11"/>
    </row>
    <row r="33" spans="1:13" ht="15">
      <c r="B33" s="104" t="s">
        <v>265</v>
      </c>
      <c r="C33" s="80">
        <v>7702142</v>
      </c>
      <c r="D33" s="80">
        <v>564821</v>
      </c>
      <c r="E33" s="82">
        <f t="shared" si="6"/>
        <v>7.3332999999999995E-2</v>
      </c>
      <c r="F33" s="70"/>
      <c r="G33" s="70"/>
      <c r="M33" s="11"/>
    </row>
    <row r="34" spans="1:13" ht="15">
      <c r="B34" s="104" t="s">
        <v>266</v>
      </c>
      <c r="C34" s="80">
        <v>7583431</v>
      </c>
      <c r="D34" s="80">
        <v>552399</v>
      </c>
      <c r="E34" s="82">
        <f t="shared" si="6"/>
        <v>7.2843000000000005E-2</v>
      </c>
      <c r="F34" s="70"/>
      <c r="G34" s="70"/>
      <c r="M34" s="11"/>
    </row>
    <row r="35" spans="1:13" ht="15">
      <c r="B35" s="104" t="s">
        <v>267</v>
      </c>
      <c r="C35" s="80">
        <v>7788753</v>
      </c>
      <c r="D35" s="80">
        <v>559027</v>
      </c>
      <c r="E35" s="83">
        <f t="shared" si="6"/>
        <v>7.1774000000000004E-2</v>
      </c>
      <c r="F35" s="70"/>
      <c r="G35" s="70"/>
      <c r="M35" s="11"/>
    </row>
    <row r="36" spans="1:13" ht="15">
      <c r="M36" s="11"/>
    </row>
    <row r="37" spans="1:13" ht="15">
      <c r="A37" s="6" t="s">
        <v>181</v>
      </c>
      <c r="G37" s="4" t="s">
        <v>76</v>
      </c>
      <c r="H37" s="102">
        <v>45972.725694444445</v>
      </c>
      <c r="M37" s="11"/>
    </row>
    <row r="38" spans="1:13" s="5" customFormat="1" ht="15" customHeight="1">
      <c r="A38" s="172" t="s">
        <v>242</v>
      </c>
      <c r="B38" s="173"/>
      <c r="C38" s="173"/>
      <c r="D38" s="6"/>
      <c r="E38" s="6"/>
      <c r="F38" s="6"/>
      <c r="G38" s="4" t="s">
        <v>77</v>
      </c>
      <c r="H38" s="102">
        <v>45973.646527777775</v>
      </c>
      <c r="K38" s="6"/>
      <c r="L38" s="6"/>
      <c r="M38" s="11"/>
    </row>
    <row r="39" spans="1:13" s="5" customFormat="1" ht="15" customHeight="1">
      <c r="A39" s="147"/>
      <c r="B39" s="136" t="s">
        <v>0</v>
      </c>
      <c r="C39" s="136"/>
      <c r="D39" s="6"/>
      <c r="E39" s="6"/>
      <c r="F39" s="6"/>
      <c r="G39" s="4" t="s">
        <v>71</v>
      </c>
      <c r="H39" s="103">
        <f>(H38-H37)*24</f>
        <v>22.099999999918509</v>
      </c>
      <c r="K39" s="6"/>
      <c r="L39" s="6"/>
      <c r="M39" s="11"/>
    </row>
    <row r="40" spans="1:13" s="5" customFormat="1" ht="15" customHeight="1">
      <c r="A40" s="147"/>
      <c r="B40" s="175" t="s">
        <v>243</v>
      </c>
      <c r="C40" s="139"/>
      <c r="D40" s="6"/>
      <c r="E40" s="6"/>
      <c r="F40" s="6"/>
      <c r="G40" s="6"/>
      <c r="K40" s="6"/>
      <c r="L40" s="6"/>
      <c r="M40" s="11"/>
    </row>
    <row r="41" spans="1:13" s="5" customFormat="1" ht="15" customHeight="1">
      <c r="A41" s="147"/>
      <c r="B41" s="136" t="s">
        <v>63</v>
      </c>
      <c r="C41" s="136"/>
      <c r="D41" s="6"/>
      <c r="E41" s="6"/>
      <c r="F41" s="6"/>
      <c r="G41" s="6"/>
      <c r="I41" s="6"/>
      <c r="J41" s="6"/>
      <c r="K41" s="6"/>
      <c r="L41" s="6"/>
      <c r="M41" s="11"/>
    </row>
    <row r="42" spans="1:13" s="5" customFormat="1" ht="15" customHeight="1">
      <c r="A42" s="147"/>
      <c r="B42" s="64">
        <v>107.40300000000001</v>
      </c>
      <c r="C42" s="20" t="s">
        <v>23</v>
      </c>
      <c r="D42" s="6"/>
      <c r="E42" s="6"/>
      <c r="F42" s="6"/>
      <c r="G42" s="6"/>
      <c r="I42" s="6"/>
      <c r="J42" s="6"/>
      <c r="K42" s="6"/>
      <c r="L42" s="6"/>
    </row>
    <row r="43" spans="1:13" s="5" customFormat="1" ht="15" customHeight="1">
      <c r="A43" s="147"/>
      <c r="B43" s="136" t="s">
        <v>25</v>
      </c>
      <c r="C43" s="136"/>
      <c r="D43" s="6"/>
      <c r="E43" s="6"/>
      <c r="F43" s="6"/>
      <c r="G43" s="6"/>
    </row>
    <row r="44" spans="1:13" s="5" customFormat="1" ht="15" customHeight="1">
      <c r="A44" s="147"/>
      <c r="B44" s="20" t="s">
        <v>47</v>
      </c>
      <c r="C44" s="20" t="s">
        <v>26</v>
      </c>
      <c r="D44" s="6"/>
      <c r="E44" s="6"/>
      <c r="F44" s="6"/>
      <c r="G44" s="6"/>
    </row>
    <row r="45" spans="1:13" s="5" customFormat="1" ht="15" customHeight="1">
      <c r="A45" s="20">
        <v>1</v>
      </c>
      <c r="B45" s="78">
        <v>5.8310000000000002E-3</v>
      </c>
      <c r="C45" s="78">
        <v>4.8339999999999998E-3</v>
      </c>
      <c r="D45"/>
      <c r="E45"/>
      <c r="F45" s="6"/>
      <c r="G45" s="6"/>
    </row>
    <row r="46" spans="1:13" s="5" customFormat="1" ht="15" customHeight="1">
      <c r="A46" s="20">
        <v>2</v>
      </c>
      <c r="B46" s="78">
        <v>6.1330000000000004E-3</v>
      </c>
      <c r="C46" s="78">
        <v>4.7470000000000004E-3</v>
      </c>
      <c r="D46"/>
      <c r="E46"/>
      <c r="F46" s="6"/>
      <c r="G46" s="6"/>
    </row>
    <row r="47" spans="1:13" s="5" customFormat="1" ht="15" customHeight="1">
      <c r="A47" s="20">
        <v>3</v>
      </c>
      <c r="B47" s="78">
        <v>5.7879999999999997E-3</v>
      </c>
      <c r="C47" s="78">
        <v>4.9740000000000001E-3</v>
      </c>
      <c r="D47"/>
      <c r="E47"/>
      <c r="F47" s="6"/>
      <c r="G47" s="6"/>
    </row>
    <row r="48" spans="1:13" s="5" customFormat="1" ht="15" customHeight="1">
      <c r="A48" s="20">
        <v>4</v>
      </c>
      <c r="B48" s="78">
        <v>5.6779999999999999E-3</v>
      </c>
      <c r="C48" s="78">
        <v>5.6210000000000001E-3</v>
      </c>
      <c r="D48"/>
      <c r="E48"/>
      <c r="F48" s="6"/>
      <c r="G48" s="6"/>
    </row>
    <row r="49" spans="1:12" s="5" customFormat="1" ht="15" customHeight="1">
      <c r="A49" s="20">
        <v>5</v>
      </c>
      <c r="B49" s="78">
        <v>6.1710000000000003E-3</v>
      </c>
      <c r="C49" s="78">
        <v>5.4580000000000002E-3</v>
      </c>
      <c r="D49"/>
      <c r="E49"/>
      <c r="F49" s="6"/>
      <c r="G49" s="6"/>
    </row>
    <row r="50" spans="1:12" s="5" customFormat="1" ht="15" customHeight="1">
      <c r="A50" s="20">
        <v>6</v>
      </c>
      <c r="B50" s="78">
        <v>4.914E-3</v>
      </c>
      <c r="C50" s="78">
        <v>5.7850000000000002E-3</v>
      </c>
      <c r="D50"/>
      <c r="E50"/>
      <c r="F50" s="6"/>
      <c r="G50" s="6"/>
    </row>
    <row r="51" spans="1:12" s="5" customFormat="1" ht="15" customHeight="1">
      <c r="A51" s="20" t="s">
        <v>22</v>
      </c>
      <c r="B51" s="34">
        <f t="shared" ref="B51:C51" si="7">ROUND(AVERAGE(B45:B50),6)</f>
        <v>5.7530000000000003E-3</v>
      </c>
      <c r="C51" s="34">
        <f t="shared" si="7"/>
        <v>5.2370000000000003E-3</v>
      </c>
      <c r="E51" s="6"/>
      <c r="F51" s="6"/>
      <c r="G51" s="6"/>
    </row>
    <row r="52" spans="1:12" s="5" customFormat="1" ht="15" customHeight="1">
      <c r="A52" s="20" t="s">
        <v>3</v>
      </c>
      <c r="B52" s="34">
        <f t="shared" ref="B52:C52" si="8">ROUND(STDEV(B45:B50),6)</f>
        <v>4.55E-4</v>
      </c>
      <c r="C52" s="34">
        <f t="shared" si="8"/>
        <v>4.4000000000000002E-4</v>
      </c>
      <c r="E52" s="6"/>
      <c r="F52" s="6"/>
      <c r="G52" s="6"/>
    </row>
    <row r="53" spans="1:12" s="5" customFormat="1" ht="15" customHeight="1">
      <c r="A53" s="20" t="s">
        <v>110</v>
      </c>
      <c r="B53" s="35">
        <f t="shared" ref="B53:C53" si="9">ROUND(B52/B51*100,1)</f>
        <v>7.9</v>
      </c>
      <c r="C53" s="35">
        <f t="shared" si="9"/>
        <v>8.4</v>
      </c>
      <c r="E53" s="6"/>
      <c r="F53" s="6"/>
      <c r="G53" s="6"/>
      <c r="H53" s="6"/>
      <c r="K53" s="6"/>
      <c r="L53" s="6"/>
    </row>
    <row r="54" spans="1:12">
      <c r="A54" s="16" t="s">
        <v>112</v>
      </c>
      <c r="B54" s="174">
        <f>ROUND((C51-B51)/B51*100,1)</f>
        <v>-9</v>
      </c>
      <c r="C54" s="174"/>
    </row>
    <row r="55" spans="1:12">
      <c r="H55" s="5"/>
      <c r="I55" s="5"/>
      <c r="J55" s="5"/>
      <c r="K55" s="5"/>
      <c r="L55" s="5"/>
    </row>
    <row r="56" spans="1:12">
      <c r="H56" s="5"/>
      <c r="I56" s="5"/>
      <c r="J56" s="5"/>
      <c r="K56" s="5"/>
      <c r="L56" s="5"/>
    </row>
  </sheetData>
  <mergeCells count="19">
    <mergeCell ref="B7:C7"/>
    <mergeCell ref="B21:C21"/>
    <mergeCell ref="D21:E21"/>
    <mergeCell ref="A5:E5"/>
    <mergeCell ref="A38:C38"/>
    <mergeCell ref="D6:E6"/>
    <mergeCell ref="D7:E7"/>
    <mergeCell ref="D8:E8"/>
    <mergeCell ref="D10:E10"/>
    <mergeCell ref="B8:C8"/>
    <mergeCell ref="B10:C10"/>
    <mergeCell ref="A6:A11"/>
    <mergeCell ref="B6:C6"/>
    <mergeCell ref="B54:C54"/>
    <mergeCell ref="A39:A44"/>
    <mergeCell ref="B39:C39"/>
    <mergeCell ref="B40:C40"/>
    <mergeCell ref="B41:C41"/>
    <mergeCell ref="B43:C43"/>
  </mergeCells>
  <phoneticPr fontId="3" type="noConversion"/>
  <conditionalFormatting sqref="F45:G50">
    <cfRule type="colorScale" priority="1">
      <colorScale>
        <cfvo type="num" val="0"/>
        <cfvo type="num" val="2"/>
        <color rgb="FFFF7128"/>
        <color rgb="FFFFEF9C"/>
      </colorScale>
    </cfRule>
  </conditionalFormatting>
  <conditionalFormatting sqref="H12:I17">
    <cfRule type="colorScale" priority="3">
      <colorScale>
        <cfvo type="num" val="0"/>
        <cfvo type="num" val="2"/>
        <color rgb="FFFF7128"/>
        <color rgb="FFFFEF9C"/>
      </colorScale>
    </cfRule>
  </conditionalFormatting>
  <conditionalFormatting sqref="H24:I35">
    <cfRule type="colorScale" priority="2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57" orientation="portrait" r:id="rId1"/>
  <headerFooter>
    <oddHeader>&amp;C 1632MV7生物分析方法学验证数据</oddHeader>
    <oddFooter>&amp;C第&amp;P页，共&amp;N页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2:M63"/>
  <sheetViews>
    <sheetView topLeftCell="A7" zoomScaleNormal="100" zoomScaleSheetLayoutView="100" workbookViewId="0">
      <selection activeCell="B12" sqref="B12:E21"/>
    </sheetView>
  </sheetViews>
  <sheetFormatPr defaultColWidth="8.875" defaultRowHeight="13.5"/>
  <cols>
    <col min="1" max="1" width="14.5" style="6" customWidth="1"/>
    <col min="2" max="2" width="18.125" style="6" customWidth="1"/>
    <col min="3" max="3" width="15.625" style="6" customWidth="1"/>
    <col min="4" max="4" width="15.25" style="6" customWidth="1"/>
    <col min="5" max="5" width="15.875" style="6" customWidth="1"/>
    <col min="6" max="8" width="8.875" style="6"/>
    <col min="9" max="9" width="8.875" style="17"/>
    <col min="10" max="10" width="13.75" style="6" customWidth="1"/>
    <col min="11" max="16384" width="8.875" style="6"/>
  </cols>
  <sheetData>
    <row r="2" spans="1:13">
      <c r="A2" s="133" t="s">
        <v>53</v>
      </c>
      <c r="B2" s="133"/>
    </row>
    <row r="3" spans="1:13">
      <c r="A3" s="8"/>
      <c r="B3" s="8"/>
    </row>
    <row r="4" spans="1:13">
      <c r="A4" s="6" t="s">
        <v>179</v>
      </c>
      <c r="G4" s="9"/>
      <c r="I4" s="4" t="s">
        <v>72</v>
      </c>
      <c r="J4" s="95">
        <v>45902</v>
      </c>
    </row>
    <row r="5" spans="1:13" s="5" customFormat="1" ht="15" customHeight="1">
      <c r="A5" s="179" t="s">
        <v>254</v>
      </c>
      <c r="B5" s="173"/>
      <c r="C5" s="173"/>
      <c r="D5" s="173"/>
      <c r="E5" s="119"/>
      <c r="G5" s="9"/>
      <c r="H5" s="6"/>
      <c r="I5" s="4" t="s">
        <v>51</v>
      </c>
      <c r="J5" s="105">
        <v>45973</v>
      </c>
      <c r="K5" s="6"/>
    </row>
    <row r="6" spans="1:13" s="5" customFormat="1" ht="15" customHeight="1">
      <c r="A6" s="178"/>
      <c r="B6" s="137" t="s">
        <v>24</v>
      </c>
      <c r="C6" s="139"/>
      <c r="D6" s="136" t="s">
        <v>17</v>
      </c>
      <c r="E6" s="136"/>
      <c r="G6" s="9"/>
      <c r="H6" s="6"/>
      <c r="I6" s="4" t="s">
        <v>52</v>
      </c>
      <c r="J6" s="94">
        <f>J5-J4</f>
        <v>71</v>
      </c>
      <c r="K6" s="6"/>
    </row>
    <row r="7" spans="1:13" s="5" customFormat="1" ht="15" customHeight="1">
      <c r="A7" s="158"/>
      <c r="B7" s="175" t="s">
        <v>371</v>
      </c>
      <c r="C7" s="139"/>
      <c r="D7" s="175" t="s">
        <v>371</v>
      </c>
      <c r="E7" s="139"/>
      <c r="I7" s="4"/>
    </row>
    <row r="8" spans="1:13" s="5" customFormat="1" ht="15" customHeight="1">
      <c r="A8" s="158"/>
      <c r="B8" s="136" t="s">
        <v>63</v>
      </c>
      <c r="C8" s="136"/>
      <c r="D8" s="136" t="s">
        <v>63</v>
      </c>
      <c r="E8" s="136"/>
      <c r="I8" s="4"/>
    </row>
    <row r="9" spans="1:13" s="5" customFormat="1" ht="15" customHeight="1">
      <c r="A9" s="158"/>
      <c r="B9" s="64">
        <v>0.46300000000000002</v>
      </c>
      <c r="C9" s="20" t="s">
        <v>46</v>
      </c>
      <c r="D9" s="64">
        <v>1</v>
      </c>
      <c r="E9" s="20" t="s">
        <v>46</v>
      </c>
      <c r="I9" s="4"/>
    </row>
    <row r="10" spans="1:13" s="5" customFormat="1" ht="15" customHeight="1">
      <c r="A10" s="158"/>
      <c r="B10" s="137" t="s">
        <v>25</v>
      </c>
      <c r="C10" s="139"/>
      <c r="D10" s="136" t="s">
        <v>25</v>
      </c>
      <c r="E10" s="136"/>
      <c r="I10" s="4"/>
    </row>
    <row r="11" spans="1:13" s="5" customFormat="1" ht="15" customHeight="1">
      <c r="A11" s="159"/>
      <c r="B11" s="20" t="s">
        <v>47</v>
      </c>
      <c r="C11" s="20" t="s">
        <v>26</v>
      </c>
      <c r="D11" s="20" t="s">
        <v>47</v>
      </c>
      <c r="E11" s="20" t="s">
        <v>26</v>
      </c>
      <c r="G11" s="6"/>
      <c r="H11" s="6"/>
      <c r="I11" s="6"/>
    </row>
    <row r="12" spans="1:13" s="5" customFormat="1" ht="15" customHeight="1">
      <c r="A12" s="20">
        <v>1</v>
      </c>
      <c r="B12" s="78">
        <v>14.937829000000001</v>
      </c>
      <c r="C12" s="78">
        <v>14.388965000000001</v>
      </c>
      <c r="D12" s="78">
        <v>6.7258999999999999E-2</v>
      </c>
      <c r="E12" s="78">
        <v>7.4224999999999999E-2</v>
      </c>
      <c r="F12" s="79"/>
      <c r="G12" s="79"/>
      <c r="H12" s="6"/>
      <c r="I12" s="6"/>
      <c r="L12" s="6"/>
      <c r="M12" s="6"/>
    </row>
    <row r="13" spans="1:13" s="5" customFormat="1" ht="15" customHeight="1">
      <c r="A13" s="20">
        <v>2</v>
      </c>
      <c r="B13" s="78">
        <v>14.661678999999999</v>
      </c>
      <c r="C13" s="78">
        <v>14.76519</v>
      </c>
      <c r="D13" s="78">
        <v>6.5905000000000005E-2</v>
      </c>
      <c r="E13" s="78">
        <v>7.1376999999999996E-2</v>
      </c>
      <c r="F13" s="79"/>
      <c r="G13" s="79"/>
      <c r="H13" s="6"/>
      <c r="I13" s="6"/>
      <c r="L13" s="6"/>
      <c r="M13" s="6"/>
    </row>
    <row r="14" spans="1:13" s="5" customFormat="1" ht="15" customHeight="1">
      <c r="A14" s="20">
        <v>3</v>
      </c>
      <c r="B14" s="78">
        <v>14.584678</v>
      </c>
      <c r="C14" s="78">
        <v>15.097118999999999</v>
      </c>
      <c r="D14" s="78">
        <v>6.4199000000000006E-2</v>
      </c>
      <c r="E14" s="78">
        <v>7.2903999999999997E-2</v>
      </c>
      <c r="F14" s="79"/>
      <c r="G14" s="79"/>
      <c r="H14" s="6"/>
      <c r="I14" s="6"/>
      <c r="L14" s="6"/>
      <c r="M14" s="6"/>
    </row>
    <row r="15" spans="1:13" s="5" customFormat="1" ht="15" customHeight="1">
      <c r="A15" s="20">
        <v>4</v>
      </c>
      <c r="B15" s="78">
        <v>14.939458</v>
      </c>
      <c r="C15" s="78">
        <v>14.463801999999999</v>
      </c>
      <c r="D15" s="78">
        <v>6.6653000000000004E-2</v>
      </c>
      <c r="E15" s="78">
        <v>6.8768999999999997E-2</v>
      </c>
      <c r="F15" s="79"/>
      <c r="G15" s="79"/>
      <c r="H15" s="6"/>
      <c r="I15" s="6"/>
      <c r="L15" s="6"/>
      <c r="M15" s="6"/>
    </row>
    <row r="16" spans="1:13" s="5" customFormat="1" ht="15" customHeight="1">
      <c r="A16" s="20">
        <v>5</v>
      </c>
      <c r="B16" s="78">
        <v>14.953294</v>
      </c>
      <c r="C16" s="78">
        <v>15.577283</v>
      </c>
      <c r="D16" s="78">
        <v>6.522E-2</v>
      </c>
      <c r="E16" s="78">
        <v>7.0571999999999996E-2</v>
      </c>
      <c r="F16" s="79"/>
      <c r="G16" s="79"/>
      <c r="H16" s="6"/>
      <c r="I16" s="6"/>
      <c r="L16" s="6"/>
      <c r="M16" s="6"/>
    </row>
    <row r="17" spans="1:13" s="5" customFormat="1" ht="15" customHeight="1">
      <c r="A17" s="20">
        <v>6</v>
      </c>
      <c r="B17" s="78">
        <v>14.609832000000001</v>
      </c>
      <c r="C17" s="78">
        <v>14.654164</v>
      </c>
      <c r="D17" s="78">
        <v>6.4988000000000004E-2</v>
      </c>
      <c r="E17" s="78">
        <v>7.1720999999999993E-2</v>
      </c>
      <c r="F17" s="79"/>
      <c r="G17" s="79"/>
      <c r="H17" s="6"/>
      <c r="I17" s="6"/>
      <c r="L17" s="6"/>
      <c r="M17" s="6"/>
    </row>
    <row r="18" spans="1:13" s="5" customFormat="1" ht="15" customHeight="1">
      <c r="A18" s="20" t="s">
        <v>22</v>
      </c>
      <c r="B18" s="34">
        <f>ROUND(AVERAGE(B12:B17),6)</f>
        <v>14.781128000000001</v>
      </c>
      <c r="C18" s="34">
        <f>ROUND(AVERAGE(C12:C17),6)</f>
        <v>14.824420999999999</v>
      </c>
      <c r="D18" s="34">
        <f>ROUND(AVERAGE(D12:D17),6)</f>
        <v>6.5703999999999999E-2</v>
      </c>
      <c r="E18" s="34">
        <f>ROUND(AVERAGE(E12:E17),6)</f>
        <v>7.1595000000000006E-2</v>
      </c>
      <c r="G18" s="6"/>
      <c r="H18" s="6"/>
      <c r="I18" s="6"/>
    </row>
    <row r="19" spans="1:13" s="5" customFormat="1" ht="15" customHeight="1">
      <c r="A19" s="20" t="s">
        <v>3</v>
      </c>
      <c r="B19" s="34">
        <f>ROUND(STDEV(B12:B17),6)</f>
        <v>0.179704</v>
      </c>
      <c r="C19" s="34">
        <f>ROUND(STDEV(C12:C17),6)</f>
        <v>0.44571899999999998</v>
      </c>
      <c r="D19" s="34">
        <f>ROUND(STDEV(D12:D17),6)</f>
        <v>1.129E-3</v>
      </c>
      <c r="E19" s="34">
        <f>ROUND(STDEV(E12:E17),6)</f>
        <v>1.8829999999999999E-3</v>
      </c>
      <c r="G19" s="6"/>
      <c r="H19" s="6"/>
      <c r="I19" s="6"/>
    </row>
    <row r="20" spans="1:13" s="5" customFormat="1" ht="15" customHeight="1">
      <c r="A20" s="20" t="s">
        <v>61</v>
      </c>
      <c r="B20" s="35">
        <f>ROUND(B19/B18*100,1)</f>
        <v>1.2</v>
      </c>
      <c r="C20" s="35">
        <f>ROUND(C19/C18*100,1)</f>
        <v>3</v>
      </c>
      <c r="D20" s="35">
        <f>ROUND(D19/D18*100,1)</f>
        <v>1.7</v>
      </c>
      <c r="E20" s="35">
        <f>ROUND(E19/E18*100,1)</f>
        <v>2.6</v>
      </c>
      <c r="G20" s="6"/>
      <c r="H20" s="6"/>
      <c r="I20" s="6"/>
    </row>
    <row r="21" spans="1:13">
      <c r="A21" s="16" t="s">
        <v>112</v>
      </c>
      <c r="B21" s="174">
        <f>ROUND((C18-B18)/B18*100,1)</f>
        <v>0.3</v>
      </c>
      <c r="C21" s="174"/>
      <c r="D21" s="174">
        <f>ROUND((E18-D18)/D18*100,1)</f>
        <v>9</v>
      </c>
      <c r="E21" s="174"/>
      <c r="I21" s="6"/>
      <c r="J21" s="5"/>
      <c r="K21" s="5"/>
    </row>
    <row r="22" spans="1:13">
      <c r="A22" s="12"/>
      <c r="B22" s="12"/>
      <c r="C22" s="12"/>
      <c r="D22" s="12"/>
      <c r="E22" s="12"/>
      <c r="I22" s="6"/>
      <c r="J22" s="5"/>
      <c r="K22" s="5"/>
    </row>
    <row r="23" spans="1:13">
      <c r="A23" s="12"/>
      <c r="B23" s="12"/>
      <c r="C23" s="12"/>
      <c r="D23" s="12"/>
      <c r="E23" s="12"/>
      <c r="I23" s="6"/>
      <c r="J23" s="5"/>
      <c r="K23" s="5"/>
    </row>
    <row r="24" spans="1:13" ht="26.25">
      <c r="B24" s="37" t="s">
        <v>244</v>
      </c>
      <c r="C24" s="20" t="s">
        <v>245</v>
      </c>
      <c r="D24" s="20" t="s">
        <v>246</v>
      </c>
      <c r="E24" s="38" t="s">
        <v>247</v>
      </c>
      <c r="F24" s="79"/>
    </row>
    <row r="25" spans="1:13" ht="14.25">
      <c r="B25" s="79" t="s">
        <v>230</v>
      </c>
      <c r="C25" s="80">
        <v>7575127</v>
      </c>
      <c r="D25" s="80">
        <v>509492</v>
      </c>
      <c r="E25" s="81">
        <f>ROUND(D25/C25,6)</f>
        <v>6.7258999999999999E-2</v>
      </c>
      <c r="F25" s="80"/>
      <c r="G25" s="80"/>
      <c r="I25" s="6"/>
    </row>
    <row r="26" spans="1:13" ht="14.25">
      <c r="B26" s="79" t="s">
        <v>231</v>
      </c>
      <c r="C26" s="80">
        <v>7782868</v>
      </c>
      <c r="D26" s="80">
        <v>512931</v>
      </c>
      <c r="E26" s="82">
        <f t="shared" ref="E26:E36" si="0">ROUND(D26/C26,6)</f>
        <v>6.5905000000000005E-2</v>
      </c>
      <c r="F26" s="80"/>
      <c r="G26" s="80"/>
      <c r="I26" s="6"/>
    </row>
    <row r="27" spans="1:13" ht="14.25">
      <c r="B27" s="79" t="s">
        <v>232</v>
      </c>
      <c r="C27" s="80">
        <v>8041362</v>
      </c>
      <c r="D27" s="80">
        <v>516249</v>
      </c>
      <c r="E27" s="82">
        <f t="shared" si="0"/>
        <v>6.4199000000000006E-2</v>
      </c>
      <c r="F27" s="80"/>
      <c r="G27" s="80"/>
      <c r="I27" s="6"/>
    </row>
    <row r="28" spans="1:13" ht="14.25">
      <c r="B28" s="79" t="s">
        <v>233</v>
      </c>
      <c r="C28" s="80">
        <v>7850604</v>
      </c>
      <c r="D28" s="80">
        <v>523267</v>
      </c>
      <c r="E28" s="82">
        <f t="shared" si="0"/>
        <v>6.6653000000000004E-2</v>
      </c>
      <c r="F28" s="80"/>
      <c r="G28" s="80"/>
      <c r="I28" s="6"/>
    </row>
    <row r="29" spans="1:13" ht="14.25">
      <c r="B29" s="79" t="s">
        <v>234</v>
      </c>
      <c r="C29" s="80">
        <v>7986881</v>
      </c>
      <c r="D29" s="80">
        <v>520901</v>
      </c>
      <c r="E29" s="82">
        <f t="shared" si="0"/>
        <v>6.522E-2</v>
      </c>
      <c r="F29" s="80"/>
      <c r="G29" s="80"/>
      <c r="I29" s="6"/>
    </row>
    <row r="30" spans="1:13" ht="14.25">
      <c r="B30" s="79" t="s">
        <v>235</v>
      </c>
      <c r="C30" s="80">
        <v>7663965</v>
      </c>
      <c r="D30" s="80">
        <v>498069</v>
      </c>
      <c r="E30" s="83">
        <f t="shared" si="0"/>
        <v>6.4988000000000004E-2</v>
      </c>
      <c r="F30" s="80"/>
      <c r="G30" s="80"/>
      <c r="I30" s="6"/>
    </row>
    <row r="31" spans="1:13" ht="14.25">
      <c r="B31" s="79" t="s">
        <v>248</v>
      </c>
      <c r="C31" s="80">
        <v>7384946</v>
      </c>
      <c r="D31" s="80">
        <v>548144</v>
      </c>
      <c r="E31" s="81">
        <f t="shared" si="0"/>
        <v>7.4224999999999999E-2</v>
      </c>
      <c r="F31" s="80"/>
      <c r="G31" s="80"/>
      <c r="I31" s="6"/>
    </row>
    <row r="32" spans="1:13" ht="14.25">
      <c r="B32" s="79" t="s">
        <v>249</v>
      </c>
      <c r="C32" s="80">
        <v>7729440</v>
      </c>
      <c r="D32" s="80">
        <v>551703</v>
      </c>
      <c r="E32" s="82">
        <f t="shared" si="0"/>
        <v>7.1376999999999996E-2</v>
      </c>
      <c r="F32" s="80"/>
      <c r="G32" s="80"/>
      <c r="I32" s="6"/>
    </row>
    <row r="33" spans="1:11" ht="14.25">
      <c r="B33" s="79" t="s">
        <v>250</v>
      </c>
      <c r="C33" s="80">
        <v>7458428</v>
      </c>
      <c r="D33" s="80">
        <v>543750</v>
      </c>
      <c r="E33" s="82">
        <f t="shared" si="0"/>
        <v>7.2903999999999997E-2</v>
      </c>
      <c r="F33" s="80"/>
      <c r="G33" s="80"/>
      <c r="I33" s="6"/>
    </row>
    <row r="34" spans="1:11" ht="14.25">
      <c r="B34" s="79" t="s">
        <v>251</v>
      </c>
      <c r="C34" s="80">
        <v>7953793</v>
      </c>
      <c r="D34" s="80">
        <v>546971</v>
      </c>
      <c r="E34" s="82">
        <f t="shared" si="0"/>
        <v>6.8768999999999997E-2</v>
      </c>
      <c r="F34" s="80"/>
      <c r="G34" s="80"/>
      <c r="I34" s="6"/>
    </row>
    <row r="35" spans="1:11" ht="14.25">
      <c r="B35" s="79" t="s">
        <v>252</v>
      </c>
      <c r="C35" s="80">
        <v>7815449</v>
      </c>
      <c r="D35" s="80">
        <v>551548</v>
      </c>
      <c r="E35" s="82">
        <f t="shared" si="0"/>
        <v>7.0571999999999996E-2</v>
      </c>
      <c r="F35" s="80"/>
      <c r="G35" s="80"/>
      <c r="I35" s="6"/>
    </row>
    <row r="36" spans="1:11" ht="14.25">
      <c r="B36" s="79" t="s">
        <v>253</v>
      </c>
      <c r="C36" s="80">
        <v>7962670</v>
      </c>
      <c r="D36" s="80">
        <v>571093</v>
      </c>
      <c r="E36" s="83">
        <f t="shared" si="0"/>
        <v>7.1720999999999993E-2</v>
      </c>
      <c r="F36" s="80"/>
      <c r="G36" s="80"/>
      <c r="I36" s="6"/>
    </row>
    <row r="37" spans="1:11" ht="14.25">
      <c r="F37" s="80"/>
      <c r="G37" s="80"/>
    </row>
    <row r="38" spans="1:11" ht="14.25">
      <c r="A38" s="6" t="s">
        <v>181</v>
      </c>
      <c r="F38" s="80"/>
      <c r="G38" s="80"/>
      <c r="I38" s="4" t="s">
        <v>72</v>
      </c>
      <c r="J38" s="95">
        <v>45902</v>
      </c>
      <c r="K38" s="5"/>
    </row>
    <row r="39" spans="1:11" s="5" customFormat="1" ht="15" customHeight="1">
      <c r="A39" s="172" t="s">
        <v>242</v>
      </c>
      <c r="B39" s="177"/>
      <c r="C39" s="177"/>
      <c r="D39" s="6"/>
      <c r="E39" s="6"/>
      <c r="F39" s="80"/>
      <c r="G39" s="80"/>
      <c r="H39" s="6"/>
      <c r="I39" s="4" t="s">
        <v>51</v>
      </c>
      <c r="J39" s="31">
        <v>45973</v>
      </c>
    </row>
    <row r="40" spans="1:11" s="5" customFormat="1" ht="15" customHeight="1">
      <c r="A40" s="178"/>
      <c r="B40" s="137" t="s">
        <v>24</v>
      </c>
      <c r="C40" s="139"/>
      <c r="D40" s="6"/>
      <c r="E40" s="6"/>
      <c r="F40" s="80"/>
      <c r="G40" s="80"/>
      <c r="H40" s="6"/>
      <c r="I40" s="4" t="s">
        <v>52</v>
      </c>
      <c r="J40" s="94">
        <f>J39-J38</f>
        <v>71</v>
      </c>
    </row>
    <row r="41" spans="1:11" s="5" customFormat="1" ht="15" customHeight="1">
      <c r="A41" s="158"/>
      <c r="B41" s="175" t="s">
        <v>371</v>
      </c>
      <c r="C41" s="139"/>
      <c r="D41" s="6"/>
      <c r="E41" s="6"/>
      <c r="F41" s="80"/>
      <c r="G41" s="80"/>
      <c r="I41" s="4"/>
    </row>
    <row r="42" spans="1:11" s="5" customFormat="1" ht="15" customHeight="1">
      <c r="A42" s="158"/>
      <c r="B42" s="136" t="s">
        <v>63</v>
      </c>
      <c r="C42" s="136"/>
      <c r="D42" s="6"/>
      <c r="E42" s="6"/>
      <c r="F42" s="80"/>
      <c r="G42" s="80"/>
      <c r="I42" s="4"/>
    </row>
    <row r="43" spans="1:11" s="5" customFormat="1" ht="15" customHeight="1">
      <c r="A43" s="158"/>
      <c r="B43" s="64">
        <v>0.53700000000000003</v>
      </c>
      <c r="C43" s="20" t="s">
        <v>46</v>
      </c>
      <c r="D43" s="6"/>
      <c r="E43" s="6"/>
      <c r="I43" s="4"/>
    </row>
    <row r="44" spans="1:11" s="5" customFormat="1" ht="15" customHeight="1">
      <c r="A44" s="158"/>
      <c r="B44" s="137" t="s">
        <v>25</v>
      </c>
      <c r="C44" s="139"/>
      <c r="D44" s="6"/>
      <c r="E44" s="6"/>
      <c r="I44" s="4"/>
    </row>
    <row r="45" spans="1:11" s="5" customFormat="1" ht="15" customHeight="1">
      <c r="A45" s="159"/>
      <c r="B45" s="20" t="s">
        <v>47</v>
      </c>
      <c r="C45" s="20" t="s">
        <v>26</v>
      </c>
      <c r="D45" s="6"/>
      <c r="E45" s="6"/>
      <c r="I45" s="4"/>
    </row>
    <row r="46" spans="1:11" s="5" customFormat="1" ht="15" customHeight="1">
      <c r="A46" s="20">
        <v>1</v>
      </c>
      <c r="B46" s="78">
        <v>5.1481110000000001</v>
      </c>
      <c r="C46" s="78">
        <v>5.5936130000000004</v>
      </c>
      <c r="D46" s="79"/>
      <c r="E46" s="79"/>
      <c r="F46" s="6"/>
      <c r="G46" s="6"/>
      <c r="I46" s="4"/>
    </row>
    <row r="47" spans="1:11" s="5" customFormat="1" ht="15" customHeight="1">
      <c r="A47" s="20">
        <v>2</v>
      </c>
      <c r="B47" s="78">
        <v>5.582274</v>
      </c>
      <c r="C47" s="78">
        <v>5.6667480000000001</v>
      </c>
      <c r="D47" s="79"/>
      <c r="E47" s="79"/>
      <c r="F47" s="6"/>
      <c r="G47" s="6"/>
      <c r="I47" s="4"/>
    </row>
    <row r="48" spans="1:11" s="5" customFormat="1" ht="15" customHeight="1">
      <c r="A48" s="20">
        <v>3</v>
      </c>
      <c r="B48" s="78">
        <v>5.5052630000000002</v>
      </c>
      <c r="C48" s="78">
        <v>5.733536</v>
      </c>
      <c r="D48" s="79"/>
      <c r="E48" s="79"/>
      <c r="F48" s="6"/>
      <c r="G48" s="6"/>
      <c r="I48" s="4"/>
    </row>
    <row r="49" spans="1:11" s="5" customFormat="1" ht="15" customHeight="1">
      <c r="A49" s="20">
        <v>4</v>
      </c>
      <c r="B49" s="78">
        <v>5.5437190000000003</v>
      </c>
      <c r="C49" s="78">
        <v>5.5774759999999999</v>
      </c>
      <c r="D49" s="79"/>
      <c r="E49" s="79"/>
      <c r="F49" s="6"/>
      <c r="G49" s="6"/>
      <c r="I49" s="4"/>
    </row>
    <row r="50" spans="1:11" s="5" customFormat="1" ht="15" customHeight="1">
      <c r="A50" s="20">
        <v>5</v>
      </c>
      <c r="B50" s="78">
        <v>5.6262080000000001</v>
      </c>
      <c r="C50" s="78">
        <v>5.8553620000000004</v>
      </c>
      <c r="D50" s="79"/>
      <c r="E50" s="79"/>
      <c r="F50" s="6"/>
      <c r="G50" s="6"/>
      <c r="I50" s="4"/>
    </row>
    <row r="51" spans="1:11" s="5" customFormat="1" ht="15" customHeight="1">
      <c r="A51" s="20">
        <v>6</v>
      </c>
      <c r="B51" s="78">
        <v>5.7219420000000003</v>
      </c>
      <c r="C51" s="78">
        <v>5.6437670000000004</v>
      </c>
      <c r="D51" s="79"/>
      <c r="E51" s="79"/>
      <c r="F51" s="6"/>
      <c r="G51" s="6"/>
      <c r="I51" s="4"/>
    </row>
    <row r="52" spans="1:11" s="5" customFormat="1" ht="15" customHeight="1">
      <c r="A52" s="20" t="s">
        <v>22</v>
      </c>
      <c r="B52" s="34">
        <f>ROUND(AVERAGE(B46:B51),6)</f>
        <v>5.5212529999999997</v>
      </c>
      <c r="C52" s="34">
        <f>ROUND(AVERAGE(C46:C51),6)</f>
        <v>5.6784169999999996</v>
      </c>
      <c r="E52" s="6"/>
      <c r="I52" s="4"/>
    </row>
    <row r="53" spans="1:11" s="5" customFormat="1" ht="15" customHeight="1">
      <c r="A53" s="20" t="s">
        <v>3</v>
      </c>
      <c r="B53" s="34">
        <f>ROUND(STDEV(B46:B51),6)</f>
        <v>0.19749</v>
      </c>
      <c r="C53" s="34">
        <f>ROUND(STDEV(C46:C51),6)</f>
        <v>0.10302</v>
      </c>
      <c r="E53" s="6"/>
      <c r="I53" s="4"/>
    </row>
    <row r="54" spans="1:11" s="5" customFormat="1" ht="15" customHeight="1">
      <c r="A54" s="20" t="s">
        <v>110</v>
      </c>
      <c r="B54" s="35">
        <f>ROUND(B53/B52*100,1)</f>
        <v>3.6</v>
      </c>
      <c r="C54" s="35">
        <f>ROUND(C53/C52*100,1)</f>
        <v>1.8</v>
      </c>
      <c r="E54" s="6"/>
      <c r="I54" s="4"/>
    </row>
    <row r="55" spans="1:11">
      <c r="A55" s="16" t="s">
        <v>112</v>
      </c>
      <c r="B55" s="174">
        <f>ROUND((C52-B52)/B52*100,1)</f>
        <v>2.8</v>
      </c>
      <c r="C55" s="174"/>
      <c r="F55" s="5"/>
      <c r="G55" s="5"/>
      <c r="H55" s="5"/>
      <c r="I55" s="4"/>
      <c r="J55" s="5"/>
      <c r="K55" s="5"/>
    </row>
    <row r="56" spans="1:11">
      <c r="H56" s="5"/>
      <c r="I56" s="4"/>
      <c r="J56" s="5"/>
      <c r="K56" s="5"/>
    </row>
    <row r="58" spans="1:11" ht="14.25">
      <c r="D58" s="79"/>
    </row>
    <row r="59" spans="1:11" ht="14.25">
      <c r="D59" s="79"/>
    </row>
    <row r="60" spans="1:11" ht="14.25">
      <c r="D60" s="79"/>
    </row>
    <row r="61" spans="1:11" ht="14.25">
      <c r="D61" s="79"/>
    </row>
    <row r="62" spans="1:11" ht="14.25">
      <c r="D62" s="79"/>
    </row>
    <row r="63" spans="1:11" ht="14.25">
      <c r="D63" s="79"/>
    </row>
  </sheetData>
  <mergeCells count="20">
    <mergeCell ref="D8:E8"/>
    <mergeCell ref="B10:C10"/>
    <mergeCell ref="A2:B2"/>
    <mergeCell ref="A6:A11"/>
    <mergeCell ref="B6:C6"/>
    <mergeCell ref="D6:E6"/>
    <mergeCell ref="B7:C7"/>
    <mergeCell ref="D7:E7"/>
    <mergeCell ref="B8:C8"/>
    <mergeCell ref="D10:E10"/>
    <mergeCell ref="A5:E5"/>
    <mergeCell ref="B21:C21"/>
    <mergeCell ref="D21:E21"/>
    <mergeCell ref="B55:C55"/>
    <mergeCell ref="A40:A45"/>
    <mergeCell ref="B40:C40"/>
    <mergeCell ref="B41:C41"/>
    <mergeCell ref="B42:C42"/>
    <mergeCell ref="B44:C44"/>
    <mergeCell ref="A39:C39"/>
  </mergeCells>
  <phoneticPr fontId="3" type="noConversion"/>
  <conditionalFormatting sqref="F46:G51">
    <cfRule type="colorScale" priority="2">
      <colorScale>
        <cfvo type="num" val="0"/>
        <cfvo type="num" val="2"/>
        <color rgb="FFFF7128"/>
        <color rgb="FFFFEF9C"/>
      </colorScale>
    </cfRule>
  </conditionalFormatting>
  <conditionalFormatting sqref="H12:I17">
    <cfRule type="colorScale" priority="4">
      <colorScale>
        <cfvo type="num" val="0"/>
        <cfvo type="num" val="2"/>
        <color rgb="FFFF7128"/>
        <color rgb="FFFFEF9C"/>
      </colorScale>
    </cfRule>
  </conditionalFormatting>
  <conditionalFormatting sqref="H25:I36">
    <cfRule type="colorScale" priority="3">
      <colorScale>
        <cfvo type="num" val="0"/>
        <cfvo type="num" val="2"/>
        <color rgb="FFFF7128"/>
        <color rgb="FFFFEF9C"/>
      </colorScale>
    </cfRule>
  </conditionalFormatting>
  <conditionalFormatting sqref="L12:M17">
    <cfRule type="colorScale" priority="1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51" orientation="portrait" r:id="rId1"/>
  <headerFooter>
    <oddHeader>&amp;C 1632MV7生物分析方法学验证数据</oddHeader>
    <oddFooter>&amp;C第&amp;P页，共&amp;N页</oddFooter>
  </headerFooter>
  <colBreaks count="1" manualBreakCount="1">
    <brk id="5" max="3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pageSetUpPr fitToPage="1"/>
  </sheetPr>
  <dimension ref="A2:K63"/>
  <sheetViews>
    <sheetView topLeftCell="A16" zoomScaleNormal="100" zoomScaleSheetLayoutView="100" workbookViewId="0">
      <selection activeCell="L57" sqref="L57"/>
    </sheetView>
  </sheetViews>
  <sheetFormatPr defaultColWidth="8.875" defaultRowHeight="13.5"/>
  <cols>
    <col min="1" max="1" width="15.875" style="6" customWidth="1"/>
    <col min="2" max="5" width="15.5" style="6" customWidth="1"/>
    <col min="6" max="7" width="13.25" style="6" customWidth="1"/>
    <col min="8" max="9" width="8.875" style="6"/>
    <col min="10" max="10" width="10.5" style="6" customWidth="1"/>
    <col min="11" max="11" width="8.875" style="17"/>
    <col min="12" max="12" width="13.5" style="6" customWidth="1"/>
    <col min="13" max="16384" width="8.875" style="6"/>
  </cols>
  <sheetData>
    <row r="2" spans="1:10">
      <c r="A2" s="62" t="s">
        <v>373</v>
      </c>
    </row>
    <row r="4" spans="1:10">
      <c r="A4" s="6" t="s">
        <v>179</v>
      </c>
      <c r="I4" s="4" t="s">
        <v>72</v>
      </c>
      <c r="J4" s="95">
        <v>45902</v>
      </c>
    </row>
    <row r="5" spans="1:10" s="5" customFormat="1" ht="15" customHeight="1">
      <c r="A5" s="172" t="s">
        <v>242</v>
      </c>
      <c r="B5" s="173"/>
      <c r="C5" s="173"/>
      <c r="D5" s="173"/>
      <c r="E5" s="119"/>
      <c r="G5" s="9"/>
      <c r="H5" s="6"/>
      <c r="I5" s="4" t="s">
        <v>73</v>
      </c>
      <c r="J5" s="105">
        <v>45973</v>
      </c>
    </row>
    <row r="6" spans="1:10" s="5" customFormat="1" ht="15" customHeight="1">
      <c r="A6" s="180"/>
      <c r="B6" s="136" t="s">
        <v>0</v>
      </c>
      <c r="C6" s="136"/>
      <c r="D6" s="136" t="s">
        <v>17</v>
      </c>
      <c r="E6" s="136"/>
      <c r="G6" s="9"/>
      <c r="H6" s="6"/>
      <c r="I6" s="4" t="s">
        <v>52</v>
      </c>
      <c r="J6" s="94">
        <f>J5-J4</f>
        <v>71</v>
      </c>
    </row>
    <row r="7" spans="1:10" s="5" customFormat="1" ht="15" customHeight="1">
      <c r="A7" s="147"/>
      <c r="B7" s="175" t="s">
        <v>372</v>
      </c>
      <c r="C7" s="139"/>
      <c r="D7" s="175" t="s">
        <v>372</v>
      </c>
      <c r="E7" s="139"/>
      <c r="I7" s="4"/>
    </row>
    <row r="8" spans="1:10" s="5" customFormat="1" ht="15" customHeight="1">
      <c r="A8" s="147"/>
      <c r="B8" s="136" t="s">
        <v>63</v>
      </c>
      <c r="C8" s="136"/>
      <c r="D8" s="136" t="s">
        <v>63</v>
      </c>
      <c r="E8" s="136"/>
      <c r="I8" s="4"/>
    </row>
    <row r="9" spans="1:10" s="5" customFormat="1" ht="15" customHeight="1">
      <c r="A9" s="147"/>
      <c r="B9" s="64">
        <v>92.596000000000004</v>
      </c>
      <c r="C9" s="20" t="s">
        <v>23</v>
      </c>
      <c r="D9" s="64">
        <v>2500</v>
      </c>
      <c r="E9" s="20" t="s">
        <v>23</v>
      </c>
      <c r="I9" s="4"/>
    </row>
    <row r="10" spans="1:10" s="5" customFormat="1" ht="15" customHeight="1">
      <c r="A10" s="147"/>
      <c r="B10" s="136" t="s">
        <v>25</v>
      </c>
      <c r="C10" s="136"/>
      <c r="D10" s="136" t="s">
        <v>25</v>
      </c>
      <c r="E10" s="136"/>
      <c r="I10" s="4"/>
    </row>
    <row r="11" spans="1:10" s="5" customFormat="1" ht="15" customHeight="1">
      <c r="A11" s="147"/>
      <c r="B11" s="20" t="s">
        <v>47</v>
      </c>
      <c r="C11" s="20" t="s">
        <v>26</v>
      </c>
      <c r="D11" s="20" t="s">
        <v>47</v>
      </c>
      <c r="E11" s="20" t="s">
        <v>26</v>
      </c>
    </row>
    <row r="12" spans="1:10" s="5" customFormat="1" ht="15" customHeight="1">
      <c r="A12" s="20">
        <v>1</v>
      </c>
      <c r="B12" s="78">
        <v>1.2635E-2</v>
      </c>
      <c r="C12" s="78">
        <v>1.3228999999999999E-2</v>
      </c>
      <c r="D12" s="78">
        <v>6.7944000000000004E-2</v>
      </c>
      <c r="E12" s="78">
        <v>7.5909000000000004E-2</v>
      </c>
      <c r="F12" s="79"/>
      <c r="G12" s="79"/>
      <c r="H12" s="6"/>
      <c r="I12" s="6"/>
    </row>
    <row r="13" spans="1:10" s="5" customFormat="1" ht="15" customHeight="1">
      <c r="A13" s="20">
        <v>2</v>
      </c>
      <c r="B13" s="78">
        <v>1.4383E-2</v>
      </c>
      <c r="C13" s="78">
        <v>1.409E-2</v>
      </c>
      <c r="D13" s="78">
        <v>7.0068000000000005E-2</v>
      </c>
      <c r="E13" s="78">
        <v>7.3736999999999997E-2</v>
      </c>
      <c r="F13" s="79"/>
      <c r="G13" s="79"/>
      <c r="H13" s="6"/>
      <c r="I13" s="6"/>
    </row>
    <row r="14" spans="1:10" s="5" customFormat="1" ht="15" customHeight="1">
      <c r="A14" s="20">
        <v>3</v>
      </c>
      <c r="B14" s="78">
        <v>1.4090999999999999E-2</v>
      </c>
      <c r="C14" s="78">
        <v>1.4827999999999999E-2</v>
      </c>
      <c r="D14" s="78">
        <v>6.4890000000000003E-2</v>
      </c>
      <c r="E14" s="78">
        <v>7.1670999999999999E-2</v>
      </c>
      <c r="F14" s="79"/>
      <c r="G14" s="79"/>
      <c r="H14" s="6"/>
      <c r="I14" s="6"/>
    </row>
    <row r="15" spans="1:10" s="5" customFormat="1" ht="15" customHeight="1">
      <c r="A15" s="20">
        <v>4</v>
      </c>
      <c r="B15" s="78">
        <v>1.1586000000000001E-2</v>
      </c>
      <c r="C15" s="78">
        <v>1.4182E-2</v>
      </c>
      <c r="D15" s="78">
        <v>6.8029999999999993E-2</v>
      </c>
      <c r="E15" s="78">
        <v>7.0002999999999996E-2</v>
      </c>
      <c r="F15" s="79"/>
      <c r="G15" s="79"/>
      <c r="H15" s="6"/>
      <c r="I15" s="6"/>
    </row>
    <row r="16" spans="1:10" s="5" customFormat="1" ht="15" customHeight="1">
      <c r="A16" s="20">
        <v>5</v>
      </c>
      <c r="B16" s="78">
        <v>1.3922E-2</v>
      </c>
      <c r="C16" s="78">
        <v>1.1996E-2</v>
      </c>
      <c r="D16" s="78">
        <v>6.7617999999999998E-2</v>
      </c>
      <c r="E16" s="78">
        <v>7.2054000000000007E-2</v>
      </c>
      <c r="F16" s="79"/>
      <c r="G16" s="79"/>
      <c r="H16" s="6"/>
      <c r="I16" s="6"/>
    </row>
    <row r="17" spans="1:11" s="5" customFormat="1" ht="15" customHeight="1">
      <c r="A17" s="20">
        <v>6</v>
      </c>
      <c r="B17" s="78">
        <v>1.4907E-2</v>
      </c>
      <c r="C17" s="78">
        <v>1.2161999999999999E-2</v>
      </c>
      <c r="D17" s="78">
        <v>6.6508999999999999E-2</v>
      </c>
      <c r="E17" s="78">
        <v>7.4422000000000002E-2</v>
      </c>
      <c r="F17" s="79"/>
      <c r="G17" s="79"/>
      <c r="H17" s="6"/>
      <c r="I17" s="6"/>
    </row>
    <row r="18" spans="1:11" s="5" customFormat="1" ht="15" customHeight="1">
      <c r="A18" s="20" t="s">
        <v>22</v>
      </c>
      <c r="B18" s="34">
        <f t="shared" ref="B18" si="0">ROUND(AVERAGE(B12:B17),6)</f>
        <v>1.3587E-2</v>
      </c>
      <c r="C18" s="34">
        <f t="shared" ref="C18:E18" si="1">ROUND(AVERAGE(C12:C17),6)</f>
        <v>1.3415E-2</v>
      </c>
      <c r="D18" s="34">
        <f t="shared" si="1"/>
        <v>6.7510000000000001E-2</v>
      </c>
      <c r="E18" s="34">
        <f t="shared" si="1"/>
        <v>7.2966000000000003E-2</v>
      </c>
    </row>
    <row r="19" spans="1:11" s="5" customFormat="1" ht="15" customHeight="1">
      <c r="A19" s="20" t="s">
        <v>3</v>
      </c>
      <c r="B19" s="34">
        <f t="shared" ref="B19" si="2">ROUND(STDEV(B12:B17),6)</f>
        <v>1.237E-3</v>
      </c>
      <c r="C19" s="34">
        <f t="shared" ref="C19:E19" si="3">ROUND(STDEV(C12:C17),6)</f>
        <v>1.1540000000000001E-3</v>
      </c>
      <c r="D19" s="34">
        <f t="shared" si="3"/>
        <v>1.725E-3</v>
      </c>
      <c r="E19" s="34">
        <f t="shared" si="3"/>
        <v>2.1289999999999998E-3</v>
      </c>
    </row>
    <row r="20" spans="1:11" s="5" customFormat="1" ht="15" customHeight="1">
      <c r="A20" s="20" t="s">
        <v>61</v>
      </c>
      <c r="B20" s="35">
        <f t="shared" ref="B20" si="4">ROUND(B19/B18*100,1)</f>
        <v>9.1</v>
      </c>
      <c r="C20" s="35">
        <f t="shared" ref="C20:E20" si="5">ROUND(C19/C18*100,1)</f>
        <v>8.6</v>
      </c>
      <c r="D20" s="35">
        <f t="shared" si="5"/>
        <v>2.6</v>
      </c>
      <c r="E20" s="35">
        <f t="shared" si="5"/>
        <v>2.9</v>
      </c>
    </row>
    <row r="21" spans="1:11">
      <c r="A21" s="16" t="s">
        <v>112</v>
      </c>
      <c r="B21" s="174">
        <f>ROUND((C18-B18)/B18*100,1)</f>
        <v>-1.3</v>
      </c>
      <c r="C21" s="174"/>
      <c r="D21" s="174">
        <f>ROUND((E18-D18)/D18*100,1)</f>
        <v>8.1</v>
      </c>
      <c r="E21" s="174"/>
      <c r="F21" s="5"/>
      <c r="G21" s="5"/>
      <c r="H21" s="5"/>
      <c r="I21" s="5"/>
      <c r="K21" s="6"/>
    </row>
    <row r="22" spans="1:11">
      <c r="H22" s="5"/>
      <c r="I22" s="5"/>
      <c r="J22" s="5"/>
      <c r="K22" s="5"/>
    </row>
    <row r="23" spans="1:11" ht="26.25">
      <c r="B23" s="37" t="s">
        <v>244</v>
      </c>
      <c r="C23" s="20" t="s">
        <v>245</v>
      </c>
      <c r="D23" s="20" t="s">
        <v>246</v>
      </c>
      <c r="E23" s="38" t="s">
        <v>247</v>
      </c>
      <c r="I23" s="5"/>
      <c r="J23" s="5"/>
      <c r="K23" s="5"/>
    </row>
    <row r="24" spans="1:11" ht="14.25">
      <c r="B24" s="104" t="s">
        <v>256</v>
      </c>
      <c r="C24" s="80">
        <v>7570700</v>
      </c>
      <c r="D24" s="80">
        <v>514386</v>
      </c>
      <c r="E24" s="81">
        <f t="shared" ref="E24:E35" si="6">ROUND(D24/C24,6)</f>
        <v>6.7944000000000004E-2</v>
      </c>
      <c r="F24" s="80"/>
      <c r="G24" s="80"/>
      <c r="J24" s="5"/>
      <c r="K24" s="5"/>
    </row>
    <row r="25" spans="1:11" ht="14.25">
      <c r="B25" s="104" t="s">
        <v>257</v>
      </c>
      <c r="C25" s="80">
        <v>7299167</v>
      </c>
      <c r="D25" s="80">
        <v>511437</v>
      </c>
      <c r="E25" s="82">
        <f t="shared" si="6"/>
        <v>7.0068000000000005E-2</v>
      </c>
      <c r="F25" s="80"/>
      <c r="G25" s="80"/>
    </row>
    <row r="26" spans="1:11" ht="14.25">
      <c r="B26" s="104" t="s">
        <v>258</v>
      </c>
      <c r="C26" s="80">
        <v>7900983</v>
      </c>
      <c r="D26" s="80">
        <v>512698</v>
      </c>
      <c r="E26" s="82">
        <f t="shared" si="6"/>
        <v>6.4890000000000003E-2</v>
      </c>
      <c r="F26" s="80"/>
      <c r="G26" s="80"/>
    </row>
    <row r="27" spans="1:11" ht="14.25">
      <c r="B27" s="104" t="s">
        <v>259</v>
      </c>
      <c r="C27" s="80">
        <v>7638560</v>
      </c>
      <c r="D27" s="80">
        <v>519652</v>
      </c>
      <c r="E27" s="82">
        <f t="shared" si="6"/>
        <v>6.8029999999999993E-2</v>
      </c>
      <c r="F27" s="80"/>
      <c r="G27" s="80"/>
    </row>
    <row r="28" spans="1:11" ht="14.25">
      <c r="B28" s="104" t="s">
        <v>260</v>
      </c>
      <c r="C28" s="80">
        <v>7658681</v>
      </c>
      <c r="D28" s="80">
        <v>517865</v>
      </c>
      <c r="E28" s="82">
        <f t="shared" si="6"/>
        <v>6.7617999999999998E-2</v>
      </c>
      <c r="F28" s="80"/>
      <c r="G28" s="80"/>
    </row>
    <row r="29" spans="1:11" ht="14.25">
      <c r="B29" s="104" t="s">
        <v>261</v>
      </c>
      <c r="C29" s="80">
        <v>7938176</v>
      </c>
      <c r="D29" s="80">
        <v>527963</v>
      </c>
      <c r="E29" s="82">
        <f t="shared" si="6"/>
        <v>6.6508999999999999E-2</v>
      </c>
      <c r="F29" s="80"/>
      <c r="G29" s="80"/>
    </row>
    <row r="30" spans="1:11" ht="14.25">
      <c r="B30" s="104" t="s">
        <v>268</v>
      </c>
      <c r="C30" s="80">
        <v>7510826</v>
      </c>
      <c r="D30" s="80">
        <v>570139</v>
      </c>
      <c r="E30" s="82">
        <f t="shared" si="6"/>
        <v>7.5909000000000004E-2</v>
      </c>
      <c r="F30" s="80"/>
      <c r="G30" s="80"/>
    </row>
    <row r="31" spans="1:11" ht="14.25">
      <c r="B31" s="104" t="s">
        <v>269</v>
      </c>
      <c r="C31" s="80">
        <v>7636035</v>
      </c>
      <c r="D31" s="80">
        <v>563060</v>
      </c>
      <c r="E31" s="82">
        <f t="shared" si="6"/>
        <v>7.3736999999999997E-2</v>
      </c>
      <c r="F31" s="80"/>
      <c r="G31" s="80"/>
    </row>
    <row r="32" spans="1:11" ht="14.25">
      <c r="B32" s="104" t="s">
        <v>270</v>
      </c>
      <c r="C32" s="80">
        <v>7898908</v>
      </c>
      <c r="D32" s="80">
        <v>566121</v>
      </c>
      <c r="E32" s="82">
        <f t="shared" si="6"/>
        <v>7.1670999999999999E-2</v>
      </c>
      <c r="F32" s="80"/>
      <c r="G32" s="80"/>
    </row>
    <row r="33" spans="1:11" ht="14.25">
      <c r="B33" s="104" t="s">
        <v>271</v>
      </c>
      <c r="C33" s="80">
        <v>8090344</v>
      </c>
      <c r="D33" s="80">
        <v>566350</v>
      </c>
      <c r="E33" s="82">
        <f t="shared" si="6"/>
        <v>7.0002999999999996E-2</v>
      </c>
      <c r="F33" s="80"/>
      <c r="G33" s="80"/>
    </row>
    <row r="34" spans="1:11" ht="14.25">
      <c r="B34" s="104" t="s">
        <v>272</v>
      </c>
      <c r="C34" s="80">
        <v>7866941</v>
      </c>
      <c r="D34" s="80">
        <v>566841</v>
      </c>
      <c r="E34" s="82">
        <f t="shared" si="6"/>
        <v>7.2054000000000007E-2</v>
      </c>
      <c r="F34" s="80"/>
      <c r="G34" s="80"/>
    </row>
    <row r="35" spans="1:11" ht="14.25">
      <c r="B35" s="104" t="s">
        <v>273</v>
      </c>
      <c r="C35" s="80">
        <v>7599288</v>
      </c>
      <c r="D35" s="80">
        <v>565551</v>
      </c>
      <c r="E35" s="83">
        <f t="shared" si="6"/>
        <v>7.4422000000000002E-2</v>
      </c>
      <c r="F35" s="80"/>
      <c r="G35" s="80"/>
    </row>
    <row r="36" spans="1:11" ht="14.25">
      <c r="F36" s="80"/>
      <c r="G36" s="80"/>
    </row>
    <row r="37" spans="1:11" ht="14.25">
      <c r="F37" s="80"/>
      <c r="G37" s="80"/>
    </row>
    <row r="38" spans="1:11" ht="14.25">
      <c r="A38" s="6" t="s">
        <v>181</v>
      </c>
      <c r="F38" s="80"/>
      <c r="G38" s="80"/>
      <c r="I38" s="4" t="s">
        <v>72</v>
      </c>
      <c r="J38" s="95">
        <v>45902</v>
      </c>
      <c r="K38" s="6"/>
    </row>
    <row r="39" spans="1:11" s="5" customFormat="1" ht="15" customHeight="1">
      <c r="A39" s="172" t="s">
        <v>242</v>
      </c>
      <c r="B39" s="173"/>
      <c r="C39" s="173"/>
      <c r="D39" s="6"/>
      <c r="E39" s="6"/>
      <c r="F39" s="80"/>
      <c r="G39" s="80"/>
      <c r="H39" s="6"/>
      <c r="I39" s="4" t="s">
        <v>73</v>
      </c>
      <c r="J39" s="31">
        <v>45973</v>
      </c>
    </row>
    <row r="40" spans="1:11" s="5" customFormat="1" ht="15" customHeight="1">
      <c r="A40" s="180"/>
      <c r="B40" s="136" t="s">
        <v>0</v>
      </c>
      <c r="C40" s="136"/>
      <c r="D40" s="6"/>
      <c r="E40" s="6"/>
      <c r="F40" s="80"/>
      <c r="G40" s="80"/>
      <c r="H40" s="6"/>
      <c r="I40" s="4" t="s">
        <v>52</v>
      </c>
      <c r="J40" s="94">
        <f>J39-J38</f>
        <v>71</v>
      </c>
    </row>
    <row r="41" spans="1:11" s="5" customFormat="1" ht="15" customHeight="1">
      <c r="A41" s="147"/>
      <c r="B41" s="175" t="s">
        <v>372</v>
      </c>
      <c r="C41" s="139"/>
      <c r="D41" s="6"/>
      <c r="E41" s="6"/>
      <c r="F41" s="80"/>
      <c r="G41" s="80"/>
      <c r="I41" s="4"/>
    </row>
    <row r="42" spans="1:11" s="5" customFormat="1" ht="15" customHeight="1">
      <c r="A42" s="147"/>
      <c r="B42" s="136" t="s">
        <v>63</v>
      </c>
      <c r="C42" s="136"/>
      <c r="D42" s="6"/>
      <c r="E42" s="6"/>
      <c r="I42" s="4"/>
    </row>
    <row r="43" spans="1:11" s="5" customFormat="1" ht="15" customHeight="1">
      <c r="A43" s="147"/>
      <c r="B43" s="64">
        <v>107.40300000000001</v>
      </c>
      <c r="C43" s="20" t="s">
        <v>23</v>
      </c>
      <c r="D43" s="6"/>
      <c r="E43" s="6"/>
      <c r="I43" s="4"/>
    </row>
    <row r="44" spans="1:11" s="5" customFormat="1" ht="15" customHeight="1">
      <c r="A44" s="147"/>
      <c r="B44" s="136" t="s">
        <v>25</v>
      </c>
      <c r="C44" s="136"/>
      <c r="D44" s="6"/>
      <c r="E44" s="6"/>
      <c r="I44" s="4"/>
    </row>
    <row r="45" spans="1:11" s="5" customFormat="1" ht="15" customHeight="1">
      <c r="A45" s="147"/>
      <c r="B45" s="20" t="s">
        <v>47</v>
      </c>
      <c r="C45" s="20" t="s">
        <v>26</v>
      </c>
      <c r="D45" s="6"/>
      <c r="E45" s="6"/>
      <c r="I45" s="4"/>
    </row>
    <row r="46" spans="1:11" s="5" customFormat="1" ht="15" customHeight="1">
      <c r="A46" s="20">
        <v>1</v>
      </c>
      <c r="B46" s="78">
        <v>5.8310000000000002E-3</v>
      </c>
      <c r="C46" s="78">
        <v>5.3790000000000001E-3</v>
      </c>
      <c r="D46" s="79"/>
      <c r="E46" s="79"/>
      <c r="F46" s="6"/>
      <c r="G46" s="6"/>
      <c r="I46" s="4"/>
    </row>
    <row r="47" spans="1:11" s="5" customFormat="1" ht="15" customHeight="1">
      <c r="A47" s="20">
        <v>2</v>
      </c>
      <c r="B47" s="78">
        <v>6.1330000000000004E-3</v>
      </c>
      <c r="C47" s="78">
        <v>5.097E-3</v>
      </c>
      <c r="D47" s="79"/>
      <c r="E47" s="79"/>
      <c r="F47" s="6"/>
      <c r="G47" s="6"/>
      <c r="I47" s="4"/>
    </row>
    <row r="48" spans="1:11" s="5" customFormat="1" ht="15" customHeight="1">
      <c r="A48" s="20">
        <v>3</v>
      </c>
      <c r="B48" s="78">
        <v>5.7879999999999997E-3</v>
      </c>
      <c r="C48" s="78">
        <v>5.4549999999999998E-3</v>
      </c>
      <c r="D48" s="79"/>
      <c r="E48" s="79"/>
      <c r="F48" s="6"/>
      <c r="G48" s="6"/>
      <c r="I48" s="4"/>
    </row>
    <row r="49" spans="1:11" s="5" customFormat="1" ht="15" customHeight="1">
      <c r="A49" s="20">
        <v>4</v>
      </c>
      <c r="B49" s="78">
        <v>5.6779999999999999E-3</v>
      </c>
      <c r="C49" s="78">
        <v>5.1240000000000001E-3</v>
      </c>
      <c r="D49" s="79"/>
      <c r="E49" s="79"/>
      <c r="F49" s="6"/>
      <c r="G49" s="6"/>
      <c r="I49" s="4"/>
    </row>
    <row r="50" spans="1:11" s="5" customFormat="1" ht="15" customHeight="1">
      <c r="A50" s="20">
        <v>5</v>
      </c>
      <c r="B50" s="78">
        <v>6.1710000000000003E-3</v>
      </c>
      <c r="C50" s="78">
        <v>5.9150000000000001E-3</v>
      </c>
      <c r="D50" s="79"/>
      <c r="E50" s="79"/>
      <c r="F50" s="6"/>
      <c r="G50" s="6"/>
      <c r="I50" s="4"/>
    </row>
    <row r="51" spans="1:11" s="5" customFormat="1" ht="15" customHeight="1">
      <c r="A51" s="20">
        <v>6</v>
      </c>
      <c r="B51" s="78">
        <v>4.914E-3</v>
      </c>
      <c r="C51" s="78">
        <v>5.0730000000000003E-3</v>
      </c>
      <c r="D51" s="79"/>
      <c r="E51" s="79"/>
      <c r="F51" s="6"/>
      <c r="G51" s="6"/>
      <c r="I51" s="4"/>
    </row>
    <row r="52" spans="1:11" s="5" customFormat="1" ht="15" customHeight="1">
      <c r="A52" s="20" t="s">
        <v>22</v>
      </c>
      <c r="B52" s="34">
        <f>ROUND(AVERAGE(B46:B51),6)</f>
        <v>5.7530000000000003E-3</v>
      </c>
      <c r="C52" s="34">
        <f>ROUND(AVERAGE(C46:C51),6)</f>
        <v>5.3410000000000003E-3</v>
      </c>
      <c r="E52" s="6"/>
      <c r="I52" s="4"/>
    </row>
    <row r="53" spans="1:11" s="5" customFormat="1" ht="15" customHeight="1">
      <c r="A53" s="20" t="s">
        <v>3</v>
      </c>
      <c r="B53" s="34">
        <f>ROUND(STDEV(B46:B51),6)</f>
        <v>4.55E-4</v>
      </c>
      <c r="C53" s="34">
        <f>ROUND(STDEV(C46:C51),6)</f>
        <v>3.2299999999999999E-4</v>
      </c>
      <c r="E53" s="6"/>
      <c r="I53" s="4"/>
    </row>
    <row r="54" spans="1:11" s="5" customFormat="1" ht="15" customHeight="1">
      <c r="A54" s="20" t="s">
        <v>110</v>
      </c>
      <c r="B54" s="35">
        <f>ROUND(B53/B52*100,1)</f>
        <v>7.9</v>
      </c>
      <c r="C54" s="35">
        <f>ROUND(C53/C52*100,1)</f>
        <v>6</v>
      </c>
      <c r="E54" s="6"/>
      <c r="I54" s="4"/>
    </row>
    <row r="55" spans="1:11">
      <c r="A55" s="107" t="s">
        <v>151</v>
      </c>
      <c r="B55" s="174">
        <f>ROUND((C52-B52)/B52*100,1)</f>
        <v>-7.2</v>
      </c>
      <c r="C55" s="174"/>
      <c r="F55" s="5"/>
      <c r="G55" s="5"/>
      <c r="H55" s="5"/>
      <c r="I55" s="4"/>
      <c r="K55" s="6"/>
    </row>
    <row r="56" spans="1:11">
      <c r="A56" s="12"/>
      <c r="B56" s="12"/>
      <c r="C56" s="12"/>
      <c r="I56" s="17"/>
      <c r="K56" s="6"/>
    </row>
    <row r="57" spans="1:11">
      <c r="I57" s="17"/>
      <c r="K57" s="6"/>
    </row>
    <row r="58" spans="1:11" ht="14.25">
      <c r="D58" s="79"/>
    </row>
    <row r="59" spans="1:11" ht="14.25">
      <c r="D59" s="79"/>
    </row>
    <row r="60" spans="1:11" ht="14.25">
      <c r="D60" s="79"/>
    </row>
    <row r="61" spans="1:11" ht="14.25">
      <c r="D61" s="79"/>
    </row>
    <row r="62" spans="1:11" ht="14.25">
      <c r="D62" s="79"/>
    </row>
    <row r="63" spans="1:11" ht="14.25">
      <c r="D63" s="79"/>
    </row>
  </sheetData>
  <mergeCells count="19">
    <mergeCell ref="B10:C10"/>
    <mergeCell ref="B21:C21"/>
    <mergeCell ref="D21:E21"/>
    <mergeCell ref="A5:E5"/>
    <mergeCell ref="A39:C39"/>
    <mergeCell ref="A6:A11"/>
    <mergeCell ref="D6:E6"/>
    <mergeCell ref="D7:E7"/>
    <mergeCell ref="B6:C6"/>
    <mergeCell ref="D8:E8"/>
    <mergeCell ref="B7:C7"/>
    <mergeCell ref="B8:C8"/>
    <mergeCell ref="D10:E10"/>
    <mergeCell ref="B55:C55"/>
    <mergeCell ref="A40:A45"/>
    <mergeCell ref="B40:C40"/>
    <mergeCell ref="B41:C41"/>
    <mergeCell ref="B42:C42"/>
    <mergeCell ref="B44:C44"/>
  </mergeCells>
  <phoneticPr fontId="3" type="noConversion"/>
  <conditionalFormatting sqref="F46:G51">
    <cfRule type="colorScale" priority="1">
      <colorScale>
        <cfvo type="num" val="0"/>
        <cfvo type="num" val="2"/>
        <color rgb="FFFF7128"/>
        <color rgb="FFFFEF9C"/>
      </colorScale>
    </cfRule>
  </conditionalFormatting>
  <conditionalFormatting sqref="H12:I17">
    <cfRule type="colorScale" priority="3">
      <colorScale>
        <cfvo type="num" val="0"/>
        <cfvo type="num" val="2"/>
        <color rgb="FFFF7128"/>
        <color rgb="FFFFEF9C"/>
      </colorScale>
    </cfRule>
  </conditionalFormatting>
  <conditionalFormatting sqref="H24:I35">
    <cfRule type="colorScale" priority="2">
      <colorScale>
        <cfvo type="num" val="0"/>
        <cfvo type="num" val="2"/>
        <color rgb="FFFF7128"/>
        <color rgb="FFFFEF9C"/>
      </colorScale>
    </cfRule>
  </conditionalFormatting>
  <printOptions headings="1" gridLines="1"/>
  <pageMargins left="0.70866141732283472" right="0.70866141732283472" top="0.74803149606299213" bottom="0.74803149606299213" header="0.31496062992125984" footer="0.31496062992125984"/>
  <pageSetup scale="63" orientation="portrait" r:id="rId1"/>
  <headerFooter>
    <oddHeader>&amp;C 1632MV7生物分析方法学验证数据</oddHeader>
    <oddFooter>&amp;C第&amp;P页，共&amp;N页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  <pageSetUpPr fitToPage="1"/>
  </sheetPr>
  <dimension ref="A2:K38"/>
  <sheetViews>
    <sheetView zoomScaleNormal="100" zoomScaleSheetLayoutView="100" workbookViewId="0">
      <selection activeCell="Q34" sqref="Q34"/>
    </sheetView>
  </sheetViews>
  <sheetFormatPr defaultColWidth="8.875" defaultRowHeight="13.5"/>
  <cols>
    <col min="1" max="1" width="13.5" style="6" customWidth="1"/>
    <col min="2" max="2" width="14.625" style="6" customWidth="1"/>
    <col min="3" max="6" width="12.625" style="6" customWidth="1"/>
    <col min="7" max="9" width="8.875" style="6"/>
    <col min="10" max="10" width="8.875" style="17"/>
    <col min="11" max="11" width="12.5" style="6" customWidth="1"/>
    <col min="12" max="16384" width="8.875" style="6"/>
  </cols>
  <sheetData>
    <row r="2" spans="1:11">
      <c r="A2" s="6" t="s">
        <v>50</v>
      </c>
    </row>
    <row r="4" spans="1:11">
      <c r="A4" s="6" t="s">
        <v>179</v>
      </c>
    </row>
    <row r="5" spans="1:11">
      <c r="A5" s="182" t="s">
        <v>393</v>
      </c>
      <c r="B5" s="182"/>
      <c r="C5" s="182"/>
      <c r="D5" s="182"/>
      <c r="E5" s="182"/>
      <c r="F5" s="182"/>
      <c r="H5" s="9"/>
      <c r="J5" s="4" t="s">
        <v>72</v>
      </c>
      <c r="K5" s="115">
        <v>45904</v>
      </c>
    </row>
    <row r="6" spans="1:11" ht="14.1" customHeight="1">
      <c r="A6" s="140" t="s">
        <v>183</v>
      </c>
      <c r="B6" s="140" t="s">
        <v>18</v>
      </c>
      <c r="C6" s="69" t="s">
        <v>2</v>
      </c>
      <c r="D6" s="136" t="s">
        <v>109</v>
      </c>
      <c r="E6" s="69" t="s">
        <v>1</v>
      </c>
      <c r="F6" s="136" t="s">
        <v>109</v>
      </c>
      <c r="H6" s="9"/>
      <c r="J6" s="4" t="s">
        <v>73</v>
      </c>
      <c r="K6" s="115">
        <v>45989</v>
      </c>
    </row>
    <row r="7" spans="1:11" ht="14.1" customHeight="1">
      <c r="A7" s="181"/>
      <c r="B7" s="181"/>
      <c r="C7" s="77">
        <v>13.888999999999999</v>
      </c>
      <c r="D7" s="136"/>
      <c r="E7" s="77">
        <v>3472.3539999999998</v>
      </c>
      <c r="F7" s="136"/>
      <c r="H7" s="9"/>
      <c r="J7" s="4" t="s">
        <v>52</v>
      </c>
      <c r="K7" s="94">
        <f>K6-K5</f>
        <v>85</v>
      </c>
    </row>
    <row r="8" spans="1:11" ht="15" customHeight="1">
      <c r="A8" s="141"/>
      <c r="B8" s="141"/>
      <c r="C8" s="69" t="s">
        <v>23</v>
      </c>
      <c r="D8" s="136"/>
      <c r="E8" s="69" t="s">
        <v>23</v>
      </c>
      <c r="F8" s="136"/>
    </row>
    <row r="9" spans="1:11" ht="15" customHeight="1">
      <c r="A9" s="161">
        <v>45990</v>
      </c>
      <c r="B9" s="140">
        <v>10</v>
      </c>
      <c r="C9" s="55">
        <v>13.01</v>
      </c>
      <c r="D9" s="65">
        <f>ROUND((C9-C7)/C7*100,1)</f>
        <v>-6.3</v>
      </c>
      <c r="E9" s="55">
        <v>3301.7550000000001</v>
      </c>
      <c r="F9" s="65">
        <f>ROUND((E9-E7)/E7*100,1)</f>
        <v>-4.9000000000000004</v>
      </c>
    </row>
    <row r="10" spans="1:11" ht="15" customHeight="1">
      <c r="A10" s="161"/>
      <c r="B10" s="181"/>
      <c r="C10" s="55">
        <v>13.045999999999999</v>
      </c>
      <c r="D10" s="65">
        <f>ROUND((C10-C7)/C7*100,1)</f>
        <v>-6.1</v>
      </c>
      <c r="E10" s="55">
        <v>3261.7179999999998</v>
      </c>
      <c r="F10" s="65">
        <f>ROUND((E10-E7)/E7*100,1)</f>
        <v>-6.1</v>
      </c>
    </row>
    <row r="11" spans="1:11" ht="15" customHeight="1">
      <c r="A11" s="161"/>
      <c r="B11" s="181"/>
      <c r="C11" s="55">
        <v>13.148999999999999</v>
      </c>
      <c r="D11" s="65">
        <f>ROUND((C11-C7)/C7*100,1)</f>
        <v>-5.3</v>
      </c>
      <c r="E11" s="55">
        <v>3236.91</v>
      </c>
      <c r="F11" s="65">
        <f>ROUND((E11-E7)/E7*100,1)</f>
        <v>-6.8</v>
      </c>
    </row>
    <row r="12" spans="1:11" ht="15" customHeight="1">
      <c r="A12" s="161"/>
      <c r="B12" s="181"/>
      <c r="C12" s="55">
        <v>13.246</v>
      </c>
      <c r="D12" s="65">
        <f>ROUND((C12-C7)/C7*100,1)</f>
        <v>-4.5999999999999996</v>
      </c>
      <c r="E12" s="55">
        <v>3273.1930000000002</v>
      </c>
      <c r="F12" s="65">
        <f>ROUND((E12-E7)/E7*100,1)</f>
        <v>-5.7</v>
      </c>
    </row>
    <row r="13" spans="1:11" ht="15" customHeight="1">
      <c r="A13" s="161"/>
      <c r="B13" s="181"/>
      <c r="C13" s="55">
        <v>14.023999999999999</v>
      </c>
      <c r="D13" s="65">
        <f>ROUND((C13-C7)/C7*100,1)</f>
        <v>1</v>
      </c>
      <c r="E13" s="55">
        <v>3246.7809999999999</v>
      </c>
      <c r="F13" s="65">
        <f>ROUND((E13-E7)/E7*100,1)</f>
        <v>-6.5</v>
      </c>
    </row>
    <row r="14" spans="1:11" ht="15" customHeight="1">
      <c r="A14" s="161"/>
      <c r="B14" s="141"/>
      <c r="C14" s="55">
        <v>13.411</v>
      </c>
      <c r="D14" s="65">
        <f>ROUND((C14-C7)/C7*100,1)</f>
        <v>-3.4</v>
      </c>
      <c r="E14" s="55">
        <v>3312.2190000000001</v>
      </c>
      <c r="F14" s="65">
        <f>ROUND((E14-E7)/E7*100,1)</f>
        <v>-4.5999999999999996</v>
      </c>
    </row>
    <row r="15" spans="1:11" ht="15" customHeight="1">
      <c r="A15" s="20" t="s">
        <v>22</v>
      </c>
      <c r="B15" s="157"/>
      <c r="C15" s="64">
        <f>ROUND(AVERAGE(C9:C14),3)</f>
        <v>13.314</v>
      </c>
      <c r="D15" s="150"/>
      <c r="E15" s="64">
        <f>ROUND(AVERAGE(E9:E14),3)</f>
        <v>3272.096</v>
      </c>
      <c r="F15" s="150"/>
    </row>
    <row r="16" spans="1:11" ht="15" customHeight="1">
      <c r="A16" s="20" t="s">
        <v>3</v>
      </c>
      <c r="B16" s="158"/>
      <c r="C16" s="64">
        <f>ROUND(STDEV(C9:C14),3)</f>
        <v>0.377</v>
      </c>
      <c r="D16" s="151"/>
      <c r="E16" s="64">
        <f>ROUND(STDEV(E9:E14),3)</f>
        <v>29.923999999999999</v>
      </c>
      <c r="F16" s="151"/>
    </row>
    <row r="17" spans="1:11" ht="15" customHeight="1">
      <c r="A17" s="20" t="s">
        <v>61</v>
      </c>
      <c r="B17" s="158"/>
      <c r="C17" s="65">
        <f>ROUND(C16/C15*100,1)</f>
        <v>2.8</v>
      </c>
      <c r="D17" s="151"/>
      <c r="E17" s="65">
        <f>ROUND(E16/E15*100,1)</f>
        <v>0.9</v>
      </c>
      <c r="F17" s="151"/>
      <c r="H17" s="116"/>
    </row>
    <row r="18" spans="1:11" ht="15" customHeight="1">
      <c r="A18" s="20" t="s">
        <v>62</v>
      </c>
      <c r="B18" s="158"/>
      <c r="C18" s="65">
        <f>ROUND(C15/C7*100,1)</f>
        <v>95.9</v>
      </c>
      <c r="D18" s="151"/>
      <c r="E18" s="65">
        <f>ROUND(E15/E7*100,1)</f>
        <v>94.2</v>
      </c>
      <c r="F18" s="151"/>
    </row>
    <row r="19" spans="1:11" ht="15" customHeight="1">
      <c r="A19" s="20" t="s">
        <v>4</v>
      </c>
      <c r="B19" s="159"/>
      <c r="C19" s="66">
        <v>6</v>
      </c>
      <c r="D19" s="152"/>
      <c r="E19" s="66">
        <v>6</v>
      </c>
      <c r="F19" s="152"/>
    </row>
    <row r="20" spans="1:11" ht="15" customHeight="1">
      <c r="E20" s="68"/>
      <c r="F20" s="68"/>
    </row>
    <row r="21" spans="1:11">
      <c r="A21" s="12"/>
      <c r="B21" s="12"/>
      <c r="C21" s="12"/>
      <c r="D21" s="12"/>
      <c r="E21" s="12"/>
    </row>
    <row r="22" spans="1:11">
      <c r="A22" s="6" t="s">
        <v>181</v>
      </c>
    </row>
    <row r="23" spans="1:11">
      <c r="A23" s="182" t="s">
        <v>393</v>
      </c>
      <c r="B23" s="182"/>
      <c r="C23" s="182"/>
      <c r="D23" s="182"/>
      <c r="E23" s="182"/>
      <c r="F23" s="182"/>
      <c r="H23" s="9"/>
      <c r="J23" s="4" t="s">
        <v>72</v>
      </c>
      <c r="K23" s="115">
        <v>45904</v>
      </c>
    </row>
    <row r="24" spans="1:11" ht="14.1" customHeight="1">
      <c r="A24" s="140" t="s">
        <v>183</v>
      </c>
      <c r="B24" s="140" t="s">
        <v>18</v>
      </c>
      <c r="C24" s="69" t="s">
        <v>2</v>
      </c>
      <c r="D24" s="136" t="s">
        <v>109</v>
      </c>
      <c r="E24" s="69" t="s">
        <v>1</v>
      </c>
      <c r="F24" s="136" t="s">
        <v>109</v>
      </c>
      <c r="H24" s="9"/>
      <c r="J24" s="4" t="s">
        <v>73</v>
      </c>
      <c r="K24" s="115">
        <v>45989</v>
      </c>
    </row>
    <row r="25" spans="1:11" ht="14.1" customHeight="1">
      <c r="A25" s="181"/>
      <c r="B25" s="181"/>
      <c r="C25" s="71">
        <v>16.111000000000001</v>
      </c>
      <c r="D25" s="136"/>
      <c r="E25" s="71">
        <v>4027.6260000000002</v>
      </c>
      <c r="F25" s="136"/>
      <c r="H25" s="9"/>
      <c r="J25" s="4" t="s">
        <v>52</v>
      </c>
      <c r="K25" s="94">
        <f>K24-K23</f>
        <v>85</v>
      </c>
    </row>
    <row r="26" spans="1:11" ht="15" customHeight="1">
      <c r="A26" s="141"/>
      <c r="B26" s="141"/>
      <c r="C26" s="72" t="s">
        <v>23</v>
      </c>
      <c r="D26" s="136"/>
      <c r="E26" s="72" t="s">
        <v>23</v>
      </c>
      <c r="F26" s="136"/>
    </row>
    <row r="27" spans="1:11" ht="15" customHeight="1">
      <c r="A27" s="161">
        <v>45990</v>
      </c>
      <c r="B27" s="140">
        <v>10</v>
      </c>
      <c r="C27" s="55">
        <v>16.297000000000001</v>
      </c>
      <c r="D27" s="65">
        <f>ROUND((C27-C25)/C25*100,1)</f>
        <v>1.2</v>
      </c>
      <c r="E27" s="55">
        <v>3680.1750000000002</v>
      </c>
      <c r="F27" s="65">
        <f>ROUND((E27-E25)/E25*100,1)</f>
        <v>-8.6</v>
      </c>
    </row>
    <row r="28" spans="1:11" ht="15" customHeight="1">
      <c r="A28" s="161"/>
      <c r="B28" s="181"/>
      <c r="C28" s="55">
        <v>15.936</v>
      </c>
      <c r="D28" s="65">
        <f>ROUND((C28-C25)/C25*100,1)</f>
        <v>-1.1000000000000001</v>
      </c>
      <c r="E28" s="55">
        <v>3636.8649999999998</v>
      </c>
      <c r="F28" s="65">
        <f>ROUND((E28-E25)/E25*100,1)</f>
        <v>-9.6999999999999993</v>
      </c>
    </row>
    <row r="29" spans="1:11" ht="15" customHeight="1">
      <c r="A29" s="161"/>
      <c r="B29" s="181"/>
      <c r="C29" s="55">
        <v>16.161000000000001</v>
      </c>
      <c r="D29" s="65">
        <f>ROUND((C29-C25)/C25*100,1)</f>
        <v>0.3</v>
      </c>
      <c r="E29" s="55">
        <v>3643.1080000000002</v>
      </c>
      <c r="F29" s="65">
        <f>ROUND((E29-E25)/E25*100,1)</f>
        <v>-9.5</v>
      </c>
    </row>
    <row r="30" spans="1:11" ht="15" customHeight="1">
      <c r="A30" s="161"/>
      <c r="B30" s="181"/>
      <c r="C30" s="55">
        <v>15.611000000000001</v>
      </c>
      <c r="D30" s="65">
        <f>ROUND((C30-C25)/C25*100,1)</f>
        <v>-3.1</v>
      </c>
      <c r="E30" s="55">
        <v>3793.665</v>
      </c>
      <c r="F30" s="65">
        <f>ROUND((E30-E25)/E25*100,1)</f>
        <v>-5.8</v>
      </c>
    </row>
    <row r="31" spans="1:11" ht="15" customHeight="1">
      <c r="A31" s="161"/>
      <c r="B31" s="181"/>
      <c r="C31" s="55">
        <v>15.869</v>
      </c>
      <c r="D31" s="65">
        <f>ROUND((C31-C25)/C25*100,1)</f>
        <v>-1.5</v>
      </c>
      <c r="E31" s="55">
        <v>3722.4169999999999</v>
      </c>
      <c r="F31" s="65">
        <f>ROUND((E31-E25)/E25*100,1)</f>
        <v>-7.6</v>
      </c>
    </row>
    <row r="32" spans="1:11" ht="15" customHeight="1">
      <c r="A32" s="161"/>
      <c r="B32" s="141"/>
      <c r="C32" s="55">
        <v>16.704000000000001</v>
      </c>
      <c r="D32" s="65">
        <f>ROUND((C32-C25)/C25*100,1)</f>
        <v>3.7</v>
      </c>
      <c r="E32" s="55">
        <v>3680.16</v>
      </c>
      <c r="F32" s="65">
        <f>ROUND((E32-E25)/E25*100,1)</f>
        <v>-8.6</v>
      </c>
    </row>
    <row r="33" spans="1:8" ht="15" customHeight="1">
      <c r="A33" s="20" t="s">
        <v>22</v>
      </c>
      <c r="B33" s="157"/>
      <c r="C33" s="64">
        <f>ROUND(AVERAGE(C27:C32),3)</f>
        <v>16.096</v>
      </c>
      <c r="D33" s="150"/>
      <c r="E33" s="64">
        <f>ROUND(AVERAGE(E27:E32),3)</f>
        <v>3692.732</v>
      </c>
      <c r="F33" s="150"/>
    </row>
    <row r="34" spans="1:8" ht="15" customHeight="1">
      <c r="A34" s="20" t="s">
        <v>3</v>
      </c>
      <c r="B34" s="158"/>
      <c r="C34" s="64">
        <f>ROUND(STDEV(C27:C32),3)</f>
        <v>0.38100000000000001</v>
      </c>
      <c r="D34" s="151"/>
      <c r="E34" s="64">
        <f>ROUND(STDEV(E27:E32),3)</f>
        <v>58.255000000000003</v>
      </c>
      <c r="F34" s="151"/>
    </row>
    <row r="35" spans="1:8" ht="15" customHeight="1">
      <c r="A35" s="20" t="s">
        <v>110</v>
      </c>
      <c r="B35" s="158"/>
      <c r="C35" s="65">
        <f>ROUND(C34/C33*100,1)</f>
        <v>2.4</v>
      </c>
      <c r="D35" s="151"/>
      <c r="E35" s="65">
        <f>ROUND(E34/E33*100,1)</f>
        <v>1.6</v>
      </c>
      <c r="F35" s="151"/>
      <c r="H35" s="116"/>
    </row>
    <row r="36" spans="1:8" ht="15" customHeight="1">
      <c r="A36" s="20" t="s">
        <v>111</v>
      </c>
      <c r="B36" s="158"/>
      <c r="C36" s="65">
        <f>ROUND(C33/C25*100,1)</f>
        <v>99.9</v>
      </c>
      <c r="D36" s="151"/>
      <c r="E36" s="65">
        <f>ROUND(E33/E25*100,1)</f>
        <v>91.7</v>
      </c>
      <c r="F36" s="151"/>
    </row>
    <row r="37" spans="1:8" ht="15" customHeight="1">
      <c r="A37" s="20" t="s">
        <v>4</v>
      </c>
      <c r="B37" s="159"/>
      <c r="C37" s="66">
        <v>6</v>
      </c>
      <c r="D37" s="152"/>
      <c r="E37" s="66">
        <v>6</v>
      </c>
      <c r="F37" s="152"/>
    </row>
    <row r="38" spans="1:8">
      <c r="A38" s="12"/>
      <c r="B38" s="12"/>
      <c r="C38" s="12"/>
      <c r="D38" s="12"/>
      <c r="E38" s="12"/>
    </row>
  </sheetData>
  <mergeCells count="20">
    <mergeCell ref="A5:F5"/>
    <mergeCell ref="A23:F23"/>
    <mergeCell ref="A6:A8"/>
    <mergeCell ref="B6:B8"/>
    <mergeCell ref="D6:D8"/>
    <mergeCell ref="F6:F8"/>
    <mergeCell ref="B15:B19"/>
    <mergeCell ref="A9:A14"/>
    <mergeCell ref="B9:B14"/>
    <mergeCell ref="D15:D19"/>
    <mergeCell ref="F15:F19"/>
    <mergeCell ref="B33:B37"/>
    <mergeCell ref="D33:D37"/>
    <mergeCell ref="F33:F37"/>
    <mergeCell ref="A24:A26"/>
    <mergeCell ref="B24:B26"/>
    <mergeCell ref="D24:D26"/>
    <mergeCell ref="F24:F26"/>
    <mergeCell ref="A27:A32"/>
    <mergeCell ref="B27:B32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  <pageSetUpPr fitToPage="1"/>
  </sheetPr>
  <dimension ref="A3:E64"/>
  <sheetViews>
    <sheetView workbookViewId="0">
      <selection activeCell="P30" sqref="P30"/>
    </sheetView>
  </sheetViews>
  <sheetFormatPr defaultColWidth="9" defaultRowHeight="15"/>
  <cols>
    <col min="1" max="1" width="22.5" style="2" customWidth="1"/>
    <col min="2" max="16384" width="9" style="2"/>
  </cols>
  <sheetData>
    <row r="3" spans="1:5">
      <c r="A3" s="2" t="s">
        <v>70</v>
      </c>
      <c r="B3" s="2" t="s">
        <v>86</v>
      </c>
      <c r="C3" s="3" t="s">
        <v>87</v>
      </c>
      <c r="D3" s="3" t="s">
        <v>88</v>
      </c>
      <c r="E3" s="3"/>
    </row>
    <row r="63" spans="2:2">
      <c r="B63" s="6"/>
    </row>
    <row r="64" spans="2:2">
      <c r="B64" s="6"/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63:B64"/>
  <sheetViews>
    <sheetView workbookViewId="0">
      <selection activeCell="O31" sqref="O31"/>
    </sheetView>
  </sheetViews>
  <sheetFormatPr defaultColWidth="9" defaultRowHeight="15"/>
  <cols>
    <col min="1" max="16384" width="9" style="2"/>
  </cols>
  <sheetData>
    <row r="63" spans="2:2">
      <c r="B63" s="6"/>
    </row>
    <row r="64" spans="2:2">
      <c r="B64" s="6"/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63:B64"/>
  <sheetViews>
    <sheetView workbookViewId="0">
      <selection activeCell="A22" sqref="A1:XFD1048576"/>
    </sheetView>
  </sheetViews>
  <sheetFormatPr defaultColWidth="9" defaultRowHeight="15"/>
  <cols>
    <col min="1" max="16384" width="9" style="2"/>
  </cols>
  <sheetData>
    <row r="63" spans="2:2">
      <c r="B63" s="6"/>
    </row>
    <row r="64" spans="2:2">
      <c r="B64" s="6"/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63:B64"/>
  <sheetViews>
    <sheetView workbookViewId="0">
      <selection activeCell="A22" sqref="A1:XFD1048576"/>
    </sheetView>
  </sheetViews>
  <sheetFormatPr defaultColWidth="9" defaultRowHeight="15"/>
  <cols>
    <col min="1" max="16384" width="9" style="2"/>
  </cols>
  <sheetData>
    <row r="63" spans="2:2">
      <c r="B63" s="6"/>
    </row>
    <row r="64" spans="2:2">
      <c r="B64" s="6"/>
    </row>
  </sheetData>
  <phoneticPr fontId="14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3</vt:i4>
      </vt:variant>
    </vt:vector>
  </HeadingPairs>
  <TitlesOfParts>
    <vt:vector size="24" baseType="lpstr">
      <vt:lpstr>1.1</vt:lpstr>
      <vt:lpstr>2.1标准品</vt:lpstr>
      <vt:lpstr>2.2内标</vt:lpstr>
      <vt:lpstr>2.5试剂</vt:lpstr>
      <vt:lpstr>2.6 空白基质</vt:lpstr>
      <vt:lpstr>2.9标准曲线质控样品配制</vt:lpstr>
      <vt:lpstr>表1_schedule</vt:lpstr>
      <vt:lpstr>表2_SST</vt:lpstr>
      <vt:lpstr>表3_CO</vt:lpstr>
      <vt:lpstr>表7_Regression</vt:lpstr>
      <vt:lpstr>表8_curve</vt:lpstr>
      <vt:lpstr>表10 QC (除准确度精密度分析批）</vt:lpstr>
      <vt:lpstr>表14_stock ST</vt:lpstr>
      <vt:lpstr>表15_spike ST</vt:lpstr>
      <vt:lpstr>表16_stock LT</vt:lpstr>
      <vt:lpstr>表17_spike LT</vt:lpstr>
      <vt:lpstr>表21_LTS</vt:lpstr>
      <vt:lpstr>分析天平</vt:lpstr>
      <vt:lpstr>（选择性图谱）空白基质图谱</vt:lpstr>
      <vt:lpstr>（选择性图谱）最低定量限图谱</vt:lpstr>
      <vt:lpstr>标准曲线</vt:lpstr>
      <vt:lpstr>'表16_stock LT'!Print_Area</vt:lpstr>
      <vt:lpstr>表2_SST!Print_Area</vt:lpstr>
      <vt:lpstr>表7_Regression!Print_Area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张茹-1</cp:lastModifiedBy>
  <cp:lastPrinted>2019-09-17T03:14:27Z</cp:lastPrinted>
  <dcterms:created xsi:type="dcterms:W3CDTF">2016-03-17T02:40:20Z</dcterms:created>
  <dcterms:modified xsi:type="dcterms:W3CDTF">2025-12-10T06:51:41Z</dcterms:modified>
</cp:coreProperties>
</file>