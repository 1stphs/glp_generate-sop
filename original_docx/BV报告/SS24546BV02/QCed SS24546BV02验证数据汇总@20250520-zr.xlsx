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Y:\43-试验电子数据的暂存目录\01-生物分析一部\02-QC\01-QCed data\2024年项目\SS24546\验证\SS24546BV02\"/>
    </mc:Choice>
  </mc:AlternateContent>
  <xr:revisionPtr revIDLastSave="0" documentId="13_ncr:1_{61DEA86A-347B-46CD-8AC4-DA7F45B0DCB3}" xr6:coauthVersionLast="47" xr6:coauthVersionMax="47" xr10:uidLastSave="{00000000-0000-0000-0000-000000000000}"/>
  <bookViews>
    <workbookView xWindow="-120" yWindow="-120" windowWidth="29040" windowHeight="15840" tabRatio="871" xr2:uid="{00000000-000D-0000-FFFF-FFFF00000000}"/>
  </bookViews>
  <sheets>
    <sheet name="表1_schedule" sheetId="7" r:id="rId1"/>
    <sheet name="表4_Selectivity" sheetId="11" r:id="rId2"/>
    <sheet name="表5_特异性" sheetId="31" r:id="rId3"/>
    <sheet name="表6_ME" sheetId="47" r:id="rId4"/>
    <sheet name="表9_Inter QC" sheetId="15" r:id="rId5"/>
    <sheet name="表11_Recovery" sheetId="48" r:id="rId6"/>
    <sheet name="表12_IS Recov" sheetId="17" r:id="rId7"/>
    <sheet name="表13_Dilution" sheetId="18" r:id="rId8"/>
    <sheet name="表18_ST" sheetId="24" r:id="rId9"/>
    <sheet name="表19_FT" sheetId="23" r:id="rId10"/>
    <sheet name="表20_PSS" sheetId="25" r:id="rId11"/>
    <sheet name="表22_Blood" sheetId="26" r:id="rId12"/>
    <sheet name="表23_溶血效应" sheetId="30" r:id="rId13"/>
  </sheets>
  <definedNames>
    <definedName name="_xlnm._FilterDatabase" localSheetId="3" hidden="1">表6_ME!$A$7:$HL$61</definedName>
    <definedName name="_xlnm.Print_Area" localSheetId="0">表1_schedule!$A$1:$M$21</definedName>
    <definedName name="_xlnm.Print_Area" localSheetId="5">表11_Recovery!$A$1:$J$17</definedName>
    <definedName name="_xlnm.Print_Area" localSheetId="6">'表12_IS Recov'!$A$1:$D$30</definedName>
    <definedName name="_xlnm.Print_Area" localSheetId="7">表13_Dilution!$A$1:$D$18</definedName>
    <definedName name="_xlnm.Print_Area" localSheetId="8">表18_ST!$A$1:$I$19</definedName>
    <definedName name="_xlnm.Print_Area" localSheetId="9">表19_FT!$A$1:$G$19</definedName>
    <definedName name="_xlnm.Print_Area" localSheetId="10">表20_PSS!$A$1:$I$19</definedName>
    <definedName name="_xlnm.Print_Area" localSheetId="12">表23_溶血效应!$A$1:$F$15</definedName>
    <definedName name="_xlnm.Print_Area" localSheetId="1">表4_Selectivity!$A$1:$H$14</definedName>
    <definedName name="_xlnm.Print_Area" localSheetId="2">表5_特异性!$A$1:$F$17</definedName>
    <definedName name="_xlnm.Print_Area" localSheetId="3">表6_ME!$A$1:$E$61</definedName>
    <definedName name="_xlnm.Print_Area" localSheetId="4">'表9_Inter QC'!$A$1:$P$108</definedName>
  </definedNames>
  <calcPr calcId="191029"/>
</workbook>
</file>

<file path=xl/calcChain.xml><?xml version="1.0" encoding="utf-8"?>
<calcChain xmlns="http://schemas.openxmlformats.org/spreadsheetml/2006/main">
  <c r="P35" i="15" l="1"/>
  <c r="O35" i="15"/>
  <c r="P34" i="15"/>
  <c r="O34" i="15"/>
  <c r="P31" i="15"/>
  <c r="O31" i="15"/>
  <c r="P30" i="15"/>
  <c r="O30" i="15"/>
  <c r="P26" i="15"/>
  <c r="O26" i="15"/>
  <c r="P25" i="15"/>
  <c r="O25" i="15"/>
  <c r="P22" i="15"/>
  <c r="O22" i="15"/>
  <c r="P21" i="15"/>
  <c r="O21" i="15"/>
  <c r="D8" i="18"/>
  <c r="B17" i="48"/>
  <c r="B16" i="48"/>
  <c r="F7" i="31"/>
  <c r="F15" i="31"/>
  <c r="D9" i="18" l="1"/>
  <c r="C17" i="18"/>
  <c r="D13" i="18"/>
  <c r="D12" i="18"/>
  <c r="D11" i="18"/>
  <c r="D10" i="18"/>
  <c r="C8" i="47" l="1"/>
  <c r="D19" i="17"/>
  <c r="D12" i="47"/>
  <c r="D11" i="47"/>
  <c r="D15" i="47" s="1"/>
  <c r="E12" i="30"/>
  <c r="C12" i="30"/>
  <c r="E11" i="30"/>
  <c r="E14" i="30" s="1"/>
  <c r="C11" i="30"/>
  <c r="C14" i="30" s="1"/>
  <c r="F10" i="30"/>
  <c r="D10" i="30"/>
  <c r="F9" i="30"/>
  <c r="D9" i="30"/>
  <c r="F8" i="30"/>
  <c r="D8" i="30"/>
  <c r="G17" i="26"/>
  <c r="F17" i="26"/>
  <c r="E17" i="26"/>
  <c r="D17" i="26"/>
  <c r="G16" i="26"/>
  <c r="F16" i="26"/>
  <c r="E16" i="26"/>
  <c r="D16" i="26"/>
  <c r="E16" i="25"/>
  <c r="C16" i="25"/>
  <c r="E15" i="25"/>
  <c r="E18" i="25" s="1"/>
  <c r="C15" i="25"/>
  <c r="C18" i="25" s="1"/>
  <c r="F14" i="25"/>
  <c r="D14" i="25"/>
  <c r="F13" i="25"/>
  <c r="D13" i="25"/>
  <c r="F12" i="25"/>
  <c r="D12" i="25"/>
  <c r="F11" i="25"/>
  <c r="D11" i="25"/>
  <c r="F10" i="25"/>
  <c r="D10" i="25"/>
  <c r="F9" i="25"/>
  <c r="D9" i="25"/>
  <c r="F16" i="23"/>
  <c r="D16" i="23"/>
  <c r="F15" i="23"/>
  <c r="F18" i="23" s="1"/>
  <c r="D15" i="23"/>
  <c r="D18" i="23" s="1"/>
  <c r="G14" i="23"/>
  <c r="E14" i="23"/>
  <c r="G13" i="23"/>
  <c r="E13" i="23"/>
  <c r="G12" i="23"/>
  <c r="E12" i="23"/>
  <c r="G11" i="23"/>
  <c r="E11" i="23"/>
  <c r="G10" i="23"/>
  <c r="E10" i="23"/>
  <c r="G9" i="23"/>
  <c r="E9" i="23"/>
  <c r="E16" i="24"/>
  <c r="C16" i="24"/>
  <c r="E15" i="24"/>
  <c r="E18" i="24" s="1"/>
  <c r="C15" i="24"/>
  <c r="C18" i="24" s="1"/>
  <c r="F14" i="24"/>
  <c r="D14" i="24"/>
  <c r="F13" i="24"/>
  <c r="D13" i="24"/>
  <c r="F12" i="24"/>
  <c r="D12" i="24"/>
  <c r="F11" i="24"/>
  <c r="D11" i="24"/>
  <c r="F10" i="24"/>
  <c r="D10" i="24"/>
  <c r="F9" i="24"/>
  <c r="D9" i="24"/>
  <c r="C15" i="18"/>
  <c r="C16" i="18" s="1"/>
  <c r="C14" i="18"/>
  <c r="D30" i="17"/>
  <c r="D29" i="17"/>
  <c r="D28" i="17"/>
  <c r="D27" i="17"/>
  <c r="D26" i="17"/>
  <c r="D25" i="17"/>
  <c r="D24" i="17"/>
  <c r="D23" i="17"/>
  <c r="D22" i="17"/>
  <c r="D21" i="17"/>
  <c r="D20" i="17"/>
  <c r="C14" i="17"/>
  <c r="B14" i="17"/>
  <c r="C13" i="17"/>
  <c r="D12" i="17" s="1"/>
  <c r="B13" i="17"/>
  <c r="I13" i="48"/>
  <c r="J12" i="48" s="1"/>
  <c r="H13" i="48"/>
  <c r="F13" i="48"/>
  <c r="G12" i="48" s="1"/>
  <c r="E13" i="48"/>
  <c r="C13" i="48"/>
  <c r="D9" i="48" s="1"/>
  <c r="B13" i="48"/>
  <c r="D57" i="47"/>
  <c r="B57" i="47"/>
  <c r="D56" i="47"/>
  <c r="D60" i="47" s="1"/>
  <c r="B56" i="47"/>
  <c r="B59" i="47" s="1"/>
  <c r="E55" i="47"/>
  <c r="C55" i="47"/>
  <c r="E54" i="47"/>
  <c r="C54" i="47"/>
  <c r="E53" i="47"/>
  <c r="C53" i="47"/>
  <c r="D48" i="47"/>
  <c r="B48" i="47"/>
  <c r="D47" i="47"/>
  <c r="D51" i="47" s="1"/>
  <c r="B47" i="47"/>
  <c r="B50" i="47" s="1"/>
  <c r="E46" i="47"/>
  <c r="C46" i="47"/>
  <c r="E45" i="47"/>
  <c r="C45" i="47"/>
  <c r="E44" i="47"/>
  <c r="C44" i="47"/>
  <c r="D39" i="47"/>
  <c r="B39" i="47"/>
  <c r="D38" i="47"/>
  <c r="D41" i="47" s="1"/>
  <c r="B38" i="47"/>
  <c r="B42" i="47" s="1"/>
  <c r="E37" i="47"/>
  <c r="C37" i="47"/>
  <c r="E36" i="47"/>
  <c r="C36" i="47"/>
  <c r="E35" i="47"/>
  <c r="C35" i="47"/>
  <c r="D30" i="47"/>
  <c r="B30" i="47"/>
  <c r="D29" i="47"/>
  <c r="D33" i="47" s="1"/>
  <c r="B29" i="47"/>
  <c r="B32" i="47" s="1"/>
  <c r="E28" i="47"/>
  <c r="C28" i="47"/>
  <c r="E27" i="47"/>
  <c r="C27" i="47"/>
  <c r="E26" i="47"/>
  <c r="C26" i="47"/>
  <c r="D21" i="47"/>
  <c r="B21" i="47"/>
  <c r="D20" i="47"/>
  <c r="D24" i="47" s="1"/>
  <c r="B20" i="47"/>
  <c r="B24" i="47" s="1"/>
  <c r="E19" i="47"/>
  <c r="C19" i="47"/>
  <c r="E18" i="47"/>
  <c r="C18" i="47"/>
  <c r="E17" i="47"/>
  <c r="C17" i="47"/>
  <c r="B12" i="47"/>
  <c r="B11" i="47"/>
  <c r="B14" i="47" s="1"/>
  <c r="E10" i="47"/>
  <c r="C10" i="47"/>
  <c r="E9" i="47"/>
  <c r="C9" i="47"/>
  <c r="E8" i="47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I7" i="25"/>
  <c r="I6" i="24"/>
  <c r="C13" i="30" l="1"/>
  <c r="D19" i="26"/>
  <c r="D7" i="17"/>
  <c r="C17" i="25"/>
  <c r="E17" i="25"/>
  <c r="E17" i="24"/>
  <c r="B15" i="17"/>
  <c r="C15" i="17"/>
  <c r="G11" i="48"/>
  <c r="G7" i="48"/>
  <c r="G9" i="48"/>
  <c r="D7" i="48"/>
  <c r="G10" i="48"/>
  <c r="D13" i="47"/>
  <c r="D49" i="47"/>
  <c r="D31" i="47"/>
  <c r="D50" i="47"/>
  <c r="B13" i="47"/>
  <c r="B40" i="47"/>
  <c r="D22" i="47"/>
  <c r="B15" i="47"/>
  <c r="E13" i="30"/>
  <c r="F19" i="26"/>
  <c r="G18" i="26"/>
  <c r="D18" i="26"/>
  <c r="E18" i="26"/>
  <c r="D14" i="47"/>
  <c r="F17" i="23"/>
  <c r="D17" i="23"/>
  <c r="D9" i="17"/>
  <c r="D58" i="47"/>
  <c r="D59" i="47"/>
  <c r="B58" i="47"/>
  <c r="B60" i="47"/>
  <c r="D40" i="47"/>
  <c r="D42" i="47"/>
  <c r="B41" i="47"/>
  <c r="D32" i="47"/>
  <c r="B31" i="47"/>
  <c r="B33" i="47"/>
  <c r="D23" i="47"/>
  <c r="J9" i="48"/>
  <c r="D10" i="48"/>
  <c r="F18" i="26"/>
  <c r="B22" i="47"/>
  <c r="B49" i="47"/>
  <c r="J10" i="48"/>
  <c r="C17" i="24"/>
  <c r="D11" i="48"/>
  <c r="D8" i="17"/>
  <c r="J7" i="48"/>
  <c r="J11" i="48"/>
  <c r="D10" i="17"/>
  <c r="B23" i="47"/>
  <c r="B51" i="47"/>
  <c r="D8" i="48"/>
  <c r="D12" i="48"/>
  <c r="D11" i="17"/>
  <c r="G8" i="48"/>
  <c r="J8" i="48"/>
  <c r="D13" i="17" l="1"/>
  <c r="G14" i="48"/>
  <c r="G13" i="48"/>
  <c r="H12" i="47"/>
  <c r="I12" i="47"/>
  <c r="I11" i="47"/>
  <c r="J14" i="48"/>
  <c r="J13" i="48"/>
  <c r="D14" i="48"/>
  <c r="D13" i="48"/>
  <c r="D14" i="17"/>
  <c r="D15" i="17" l="1"/>
  <c r="G15" i="48"/>
  <c r="D15" i="48"/>
  <c r="J15" i="48"/>
</calcChain>
</file>

<file path=xl/sharedStrings.xml><?xml version="1.0" encoding="utf-8"?>
<sst xmlns="http://schemas.openxmlformats.org/spreadsheetml/2006/main" count="446" uniqueCount="224">
  <si>
    <t>LLOQ</t>
  </si>
  <si>
    <t>HQC</t>
  </si>
  <si>
    <t>MQC</t>
  </si>
  <si>
    <t>LQC</t>
  </si>
  <si>
    <t>SD</t>
  </si>
  <si>
    <t>n</t>
  </si>
  <si>
    <t>ng/mL</t>
  </si>
  <si>
    <t xml:space="preserve"> LQC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</si>
  <si>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</si>
  <si>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</si>
  <si>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</si>
  <si>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</si>
  <si>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</si>
  <si>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</si>
  <si>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</si>
  <si>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</si>
  <si>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</si>
  <si>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平均值</t>
    </r>
    <phoneticPr fontId="4" type="noConversion"/>
  </si>
  <si>
    <r>
      <rPr>
        <sz val="10.5"/>
        <color theme="1"/>
        <rFont val="宋体"/>
        <family val="3"/>
        <charset val="134"/>
      </rPr>
      <t>检测批次编号</t>
    </r>
  </si>
  <si>
    <r>
      <rPr>
        <sz val="10.5"/>
        <color theme="1"/>
        <rFont val="宋体"/>
        <family val="3"/>
        <charset val="134"/>
      </rPr>
      <t>平均实测浓度</t>
    </r>
  </si>
  <si>
    <r>
      <rPr>
        <sz val="10.5"/>
        <color theme="1"/>
        <rFont val="宋体"/>
        <family val="3"/>
        <charset val="134"/>
      </rPr>
      <t>批内</t>
    </r>
    <r>
      <rPr>
        <sz val="10.5"/>
        <color theme="1"/>
        <rFont val="Times New Roman"/>
        <family val="1"/>
      </rPr>
      <t>SD</t>
    </r>
  </si>
  <si>
    <r>
      <rPr>
        <sz val="10.5"/>
        <color theme="1"/>
        <rFont val="宋体"/>
        <family val="3"/>
        <charset val="134"/>
      </rPr>
      <t>批间</t>
    </r>
    <r>
      <rPr>
        <sz val="10.5"/>
        <color theme="1"/>
        <rFont val="Times New Roman"/>
        <family val="1"/>
      </rPr>
      <t>SD</t>
    </r>
  </si>
  <si>
    <r>
      <rPr>
        <sz val="10.5"/>
        <color theme="1"/>
        <rFont val="宋体"/>
        <family val="3"/>
        <charset val="134"/>
      </rPr>
      <t>提取后内标峰面积比</t>
    </r>
  </si>
  <si>
    <r>
      <rPr>
        <sz val="10.5"/>
        <color theme="1"/>
        <rFont val="宋体"/>
        <family val="3"/>
        <charset val="134"/>
      </rPr>
      <t>未提取内标峰面积比</t>
    </r>
  </si>
  <si>
    <r>
      <rPr>
        <sz val="10.5"/>
        <color theme="1"/>
        <rFont val="宋体"/>
        <family val="3"/>
        <charset val="134"/>
      </rPr>
      <t>冻融循环次数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</si>
  <si>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</si>
  <si>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</si>
  <si>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 xml:space="preserve"> </t>
    </r>
    <r>
      <rPr>
        <sz val="10.5"/>
        <rFont val="宋体"/>
        <family val="3"/>
        <charset val="134"/>
      </rPr>
      <t>检测批次编号</t>
    </r>
    <phoneticPr fontId="4" type="noConversion"/>
  </si>
  <si>
    <r>
      <t>T</t>
    </r>
    <r>
      <rPr>
        <vertAlign val="subscript"/>
        <sz val="10.5"/>
        <rFont val="Times New Roman"/>
        <family val="1"/>
      </rPr>
      <t>x</t>
    </r>
    <phoneticPr fontId="4" type="noConversion"/>
  </si>
  <si>
    <t>ng/mL</t>
    <phoneticPr fontId="4" type="noConversion"/>
  </si>
  <si>
    <r>
      <rPr>
        <sz val="10.5"/>
        <color theme="1"/>
        <rFont val="宋体"/>
        <family val="3"/>
        <charset val="134"/>
      </rPr>
      <t>检测日期</t>
    </r>
    <phoneticPr fontId="4" type="noConversion"/>
  </si>
  <si>
    <r>
      <rPr>
        <sz val="10.5"/>
        <rFont val="宋体"/>
        <family val="3"/>
        <charset val="134"/>
      </rPr>
      <t>浓度</t>
    </r>
    <phoneticPr fontId="4" type="noConversion"/>
  </si>
  <si>
    <r>
      <rPr>
        <sz val="10.5"/>
        <rFont val="宋体"/>
        <family val="3"/>
        <charset val="134"/>
      </rPr>
      <t>待测物与内标的峰面积比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</si>
  <si>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</si>
  <si>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t>放置时间：</t>
  </si>
  <si>
    <t>表23：溶血效应</t>
  </si>
  <si>
    <t>表22：全血稳定性</t>
  </si>
  <si>
    <t>表19：冻融稳定性</t>
  </si>
  <si>
    <t xml:space="preserve">表18：生物样品前处理过程中的短期稳定性 </t>
  </si>
  <si>
    <t>表13：稀释可靠性</t>
  </si>
  <si>
    <t>表12：内标回收率：以内标与提取待测物的峰面积比计</t>
  </si>
  <si>
    <t>表9：批内/批间样品检测的精密度和准确度</t>
  </si>
  <si>
    <t>表4：选择性考察</t>
  </si>
  <si>
    <t>表1：批量样品检测情况列表</t>
  </si>
  <si>
    <t>CV（%）</t>
  </si>
  <si>
    <t>准确度（%）</t>
  </si>
  <si>
    <t>差异（%）</t>
  </si>
  <si>
    <t>准确度偏差（%）</t>
  </si>
  <si>
    <t>提取回收率（%）</t>
  </si>
  <si>
    <t>批内CV（%）</t>
  </si>
  <si>
    <t>批内准确度偏差（%）</t>
  </si>
  <si>
    <r>
      <rPr>
        <sz val="10.5"/>
        <rFont val="宋体"/>
        <family val="3"/>
        <charset val="134"/>
      </rPr>
      <t>待测物响应值</t>
    </r>
    <phoneticPr fontId="4" type="noConversion"/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</si>
  <si>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</si>
  <si>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</si>
  <si>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</si>
  <si>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</si>
  <si>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color theme="1"/>
        <rFont val="宋体"/>
        <family val="3"/>
        <charset val="134"/>
      </rPr>
      <t>样品放置结束时间：</t>
    </r>
  </si>
  <si>
    <r>
      <rPr>
        <sz val="10.5"/>
        <color theme="1"/>
        <rFont val="宋体"/>
        <family val="3"/>
        <charset val="134"/>
      </rPr>
      <t>样品名称</t>
    </r>
    <phoneticPr fontId="4" type="noConversion"/>
  </si>
  <si>
    <r>
      <rPr>
        <sz val="10.5"/>
        <color theme="1"/>
        <rFont val="宋体"/>
        <family val="3"/>
        <charset val="134"/>
      </rPr>
      <t>待测物峰面积</t>
    </r>
    <phoneticPr fontId="4" type="noConversion"/>
  </si>
  <si>
    <r>
      <rPr>
        <sz val="10.5"/>
        <color theme="1"/>
        <rFont val="宋体"/>
        <family val="3"/>
        <charset val="134"/>
      </rPr>
      <t>内标峰面积</t>
    </r>
    <phoneticPr fontId="4" type="noConversion"/>
  </si>
  <si>
    <r>
      <rPr>
        <sz val="10.5"/>
        <color theme="1"/>
        <rFont val="宋体"/>
        <family val="3"/>
        <charset val="134"/>
      </rPr>
      <t>内标峰面积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待测物峰面积</t>
    </r>
    <phoneticPr fontId="4" type="noConversion"/>
  </si>
  <si>
    <r>
      <rPr>
        <sz val="10.5"/>
        <color theme="1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</si>
  <si>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提取日期</t>
    </r>
    <phoneticPr fontId="4" type="noConversion"/>
  </si>
  <si>
    <r>
      <rPr>
        <sz val="10.5"/>
        <rFont val="宋体"/>
        <family val="3"/>
        <charset val="134"/>
      </rPr>
      <t>备注：</t>
    </r>
  </si>
  <si>
    <t>Max</t>
    <phoneticPr fontId="4" type="noConversion"/>
  </si>
  <si>
    <t>Min</t>
    <phoneticPr fontId="4" type="noConversion"/>
  </si>
  <si>
    <t>批内</t>
    <phoneticPr fontId="4" type="noConversion"/>
  </si>
  <si>
    <t>批间</t>
    <phoneticPr fontId="4" type="noConversion"/>
  </si>
  <si>
    <t>%Bias</t>
    <phoneticPr fontId="4" type="noConversion"/>
  </si>
  <si>
    <t>%CV</t>
    <phoneticPr fontId="4" type="noConversion"/>
  </si>
  <si>
    <r>
      <rPr>
        <sz val="10.5"/>
        <color theme="1"/>
        <rFont val="宋体"/>
        <family val="3"/>
        <charset val="134"/>
      </rPr>
      <t>除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外</t>
    </r>
    <phoneticPr fontId="4" type="noConversion"/>
  </si>
  <si>
    <t>LLOQ</t>
    <phoneticPr fontId="4" type="noConversion"/>
  </si>
  <si>
    <t>GMQC</t>
    <phoneticPr fontId="4" type="noConversion"/>
  </si>
  <si>
    <t>MQC</t>
    <phoneticPr fontId="4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</si>
  <si>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</si>
  <si>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</si>
  <si>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</si>
  <si>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</si>
  <si>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表6：基质效应试验</t>
    <phoneticPr fontId="4" type="noConversion"/>
  </si>
  <si>
    <t>ng/mL</t>
    <phoneticPr fontId="17" type="noConversion"/>
  </si>
  <si>
    <t>溶血</t>
    <phoneticPr fontId="4" type="noConversion"/>
  </si>
  <si>
    <t>NA</t>
    <phoneticPr fontId="4" type="noConversion"/>
  </si>
  <si>
    <t>Min</t>
    <phoneticPr fontId="17" type="noConversion"/>
  </si>
  <si>
    <t>Max</t>
    <phoneticPr fontId="17" type="noConversion"/>
  </si>
  <si>
    <t xml:space="preserve"> </t>
    <phoneticPr fontId="4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</si>
  <si>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</si>
  <si>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</si>
  <si>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r>
      <rPr>
        <sz val="10.5"/>
        <color indexed="8"/>
        <rFont val="宋体"/>
        <family val="3"/>
        <charset val="134"/>
      </rPr>
      <t>提取后峰面积比</t>
    </r>
    <phoneticPr fontId="42" type="noConversion"/>
  </si>
  <si>
    <r>
      <rPr>
        <sz val="10.5"/>
        <color indexed="8"/>
        <rFont val="宋体"/>
        <family val="3"/>
        <charset val="134"/>
      </rPr>
      <t>未提取的峰面积比</t>
    </r>
    <r>
      <rPr>
        <sz val="10.5"/>
        <color indexed="8"/>
        <rFont val="Times New Roman"/>
        <family val="1"/>
      </rPr>
      <t xml:space="preserve"> </t>
    </r>
  </si>
  <si>
    <r>
      <rPr>
        <sz val="10.5"/>
        <color indexed="8"/>
        <rFont val="宋体"/>
        <family val="3"/>
        <charset val="134"/>
      </rPr>
      <t>平均值</t>
    </r>
    <phoneticPr fontId="42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</si>
  <si>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</si>
  <si>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17" type="noConversion"/>
  </si>
  <si>
    <t>干扰 （%）</t>
  </si>
  <si>
    <t>准确度偏差 （%）</t>
  </si>
  <si>
    <t>批内CV （%）</t>
  </si>
  <si>
    <t>批内准确度偏差 （%）</t>
  </si>
  <si>
    <t>批间CV （%）</t>
  </si>
  <si>
    <t>批间准确度偏差 （%）</t>
  </si>
  <si>
    <t>#表示不符合接受标准，仍参与统计计算</t>
  </si>
  <si>
    <r>
      <t>DQC</t>
    </r>
    <r>
      <rPr>
        <sz val="10.5"/>
        <rFont val="宋体"/>
        <family val="3"/>
        <charset val="134"/>
      </rPr>
      <t>（稀释倍数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倍）</t>
    </r>
    <phoneticPr fontId="4" type="noConversion"/>
  </si>
  <si>
    <r>
      <rPr>
        <sz val="10.5"/>
        <rFont val="宋体"/>
        <family val="3"/>
        <charset val="134"/>
      </rPr>
      <t>平均值</t>
    </r>
    <phoneticPr fontId="4" type="noConversion"/>
  </si>
  <si>
    <r>
      <t>5</t>
    </r>
    <r>
      <rPr>
        <sz val="10.5"/>
        <rFont val="宋体"/>
        <family val="3"/>
        <charset val="134"/>
      </rPr>
      <t>次</t>
    </r>
  </si>
  <si>
    <t>设备编号</t>
    <phoneticPr fontId="4" type="noConversion"/>
  </si>
  <si>
    <t>系统适用性，全血稳定性</t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</si>
  <si>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：该分析批无标曲质控样品。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</si>
  <si>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宋体"/>
        <family val="3"/>
        <charset val="134"/>
      </rPr>
      <t>：待测物提取回收率：以待测物与内标的峰面积比计</t>
    </r>
    <phoneticPr fontId="4" type="noConversion"/>
  </si>
  <si>
    <r>
      <rPr>
        <sz val="10.5"/>
        <rFont val="宋体"/>
        <family val="3"/>
        <charset val="134"/>
      </rPr>
      <t>提取后峰面积比</t>
    </r>
    <phoneticPr fontId="17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</si>
  <si>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4" type="noConversion"/>
  </si>
  <si>
    <t>EQ2018B32</t>
    <phoneticPr fontId="4" type="noConversion"/>
  </si>
  <si>
    <t>是</t>
    <phoneticPr fontId="4" type="noConversion"/>
  </si>
  <si>
    <t>系统适用性，标准曲线及范围，第一批批内准确度和精密度，稳定性T0，稀释可靠性，特异性，残留评价</t>
    <phoneticPr fontId="4" type="noConversion"/>
  </si>
  <si>
    <r>
      <rPr>
        <sz val="10.5"/>
        <rFont val="宋体"/>
        <family val="3"/>
        <charset val="134"/>
      </rPr>
      <t>系统适用性，标准曲线及范围，第二批批内准确度和精密度，基质效应，回收率，溶血效应，选择性，分析批最大进样针数（</t>
    </r>
    <r>
      <rPr>
        <sz val="10.5"/>
        <rFont val="Times New Roman"/>
        <family val="3"/>
      </rPr>
      <t>160</t>
    </r>
    <r>
      <rPr>
        <sz val="10.5"/>
        <rFont val="宋体"/>
        <family val="3"/>
        <charset val="134"/>
      </rPr>
      <t>针），残留评价</t>
    </r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</si>
  <si>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：处理后样品的稳定性</t>
    </r>
    <phoneticPr fontId="4" type="noConversion"/>
  </si>
  <si>
    <t>系统适用性，标准曲线及范围，第四批批内准确度和精密度，样品短期稳定性，样品冻融稳定性，残留评价</t>
    <phoneticPr fontId="4" type="noConversion"/>
  </si>
  <si>
    <t>系统适用性，标准曲线及范围，第六批批内准确度和精密度，基质效应，溶血效应，选择性，残留评价</t>
    <phoneticPr fontId="4" type="noConversion"/>
  </si>
  <si>
    <r>
      <t>否</t>
    </r>
    <r>
      <rPr>
        <vertAlign val="superscript"/>
        <sz val="10.5"/>
        <rFont val="宋体"/>
        <family val="3"/>
        <charset val="134"/>
      </rPr>
      <t>2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</si>
  <si>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：该分析批标曲样品不符合接受标准。</t>
    </r>
    <phoneticPr fontId="4" type="noConversion"/>
  </si>
  <si>
    <r>
      <t>系统适用性，标准曲线及范围，第三批批内准确度和精密度，基质效应，回收率，溶血效应，选择性，处理后样品的稳定性</t>
    </r>
    <r>
      <rPr>
        <vertAlign val="superscript"/>
        <sz val="10.5"/>
        <rFont val="宋体"/>
        <family val="3"/>
        <charset val="134"/>
      </rPr>
      <t>3</t>
    </r>
    <r>
      <rPr>
        <sz val="10.5"/>
        <rFont val="宋体"/>
        <family val="3"/>
        <charset val="134"/>
      </rPr>
      <t>，分析批最大进样针数（163针），残留评价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</si>
  <si>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4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24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1</t>
    </r>
    <r>
      <rPr>
        <sz val="10.5"/>
        <rFont val="宋体"/>
        <family val="3"/>
        <charset val="134"/>
      </rPr>
      <t>个分析批中制备。</t>
    </r>
    <phoneticPr fontId="4" type="noConversion"/>
  </si>
  <si>
    <r>
      <t>否</t>
    </r>
    <r>
      <rPr>
        <vertAlign val="superscript"/>
        <sz val="10.5"/>
        <rFont val="宋体"/>
        <family val="3"/>
        <charset val="134"/>
      </rPr>
      <t>4</t>
    </r>
    <phoneticPr fontId="4" type="noConversion"/>
  </si>
  <si>
    <t>RESS24546-B 选择性</t>
  </si>
  <si>
    <t>分析批是否接受RESS24546-B</t>
  </si>
  <si>
    <t>符合接受标准的定量下限RESS24546-B峰面积（均）值</t>
  </si>
  <si>
    <t>待测物RESS24546-B对内标的干扰</t>
  </si>
  <si>
    <t>内标对待测物RESS24546-B的干扰</t>
  </si>
  <si>
    <t>待测物RESS24546-B保留时间处的峰面积</t>
  </si>
  <si>
    <t>符合接受标准的标曲样品定量下限RESS24546-B峰面积（均）值</t>
  </si>
  <si>
    <t>干扰占RESS24546-B
的百分比（%）</t>
  </si>
  <si>
    <t>RESS24546-B</t>
  </si>
  <si>
    <t>检测批次编号：8</t>
    <phoneticPr fontId="4" type="noConversion"/>
  </si>
  <si>
    <t>拒绝批</t>
    <phoneticPr fontId="4" type="noConversion"/>
  </si>
  <si>
    <t>SS24546BV02 Only ULOQ 1</t>
  </si>
  <si>
    <t>SS24546BV02 Only ULOQ 2</t>
  </si>
  <si>
    <t>SS24546BV02 Only ULOQ 3</t>
  </si>
  <si>
    <t>SS24546BV02 Only IS 1</t>
  </si>
  <si>
    <t>SS24546BV02 Only IS 2</t>
  </si>
  <si>
    <t>SS24546BV02 Only IS 3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</si>
  <si>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8</t>
    </r>
    <phoneticPr fontId="17" type="noConversion"/>
  </si>
  <si>
    <t>#116.179</t>
  </si>
  <si>
    <t>#184.068</t>
  </si>
  <si>
    <t>#117.407</t>
  </si>
  <si>
    <t>#102.603</t>
  </si>
  <si>
    <t>#114.297</t>
  </si>
  <si>
    <t>系统适用性，标准曲线及范围，第七批批内准确度和精密度，基质效应，溶血效应，选择性，残留评价</t>
    <phoneticPr fontId="4" type="noConversion"/>
  </si>
  <si>
    <r>
      <rPr>
        <sz val="10.5"/>
        <rFont val="宋体"/>
        <family val="3"/>
        <charset val="134"/>
      </rPr>
      <t>系统适用性，标准曲线及范围，第五批批内准确度和精密度</t>
    </r>
    <r>
      <rPr>
        <vertAlign val="superscript"/>
        <sz val="10.5"/>
        <rFont val="宋体"/>
        <family val="3"/>
        <charset val="134"/>
      </rPr>
      <t>5</t>
    </r>
    <r>
      <rPr>
        <sz val="10.5"/>
        <rFont val="宋体"/>
        <family val="3"/>
        <charset val="134"/>
      </rPr>
      <t>，回收率，处理后样品稳定性</t>
    </r>
    <r>
      <rPr>
        <vertAlign val="superscript"/>
        <sz val="10.5"/>
        <rFont val="宋体"/>
        <family val="3"/>
        <charset val="134"/>
      </rPr>
      <t>6</t>
    </r>
    <r>
      <rPr>
        <sz val="10.5"/>
        <rFont val="宋体"/>
        <family val="3"/>
        <charset val="134"/>
      </rPr>
      <t>，分析批最大进样针数（</t>
    </r>
    <r>
      <rPr>
        <sz val="10.5"/>
        <rFont val="Times New Roman"/>
        <family val="3"/>
      </rPr>
      <t>130</t>
    </r>
    <r>
      <rPr>
        <sz val="10.5"/>
        <rFont val="宋体"/>
        <family val="3"/>
        <charset val="134"/>
      </rPr>
      <t>针），残留评价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</si>
  <si>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：该分析批的批内准确度与精密度样品考察失败，将重新考察。</t>
    </r>
    <phoneticPr fontId="4" type="noConversion"/>
  </si>
  <si>
    <t>#35.553</t>
  </si>
  <si>
    <t>#35.560</t>
  </si>
  <si>
    <t>#32.340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</si>
  <si>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6</t>
    </r>
    <phoneticPr fontId="17" type="noConversion"/>
  </si>
  <si>
    <t>SS24546BV02 Unextracted Mid 1</t>
  </si>
  <si>
    <t>SS24546BV02 Unextracted Mid 2</t>
  </si>
  <si>
    <t>SS24546BV02 Unextracted Mid 3</t>
  </si>
  <si>
    <t>SS24546BV02 Unextracted Mid 4</t>
  </si>
  <si>
    <t>SS24546BV02 Unextracted Mid 5</t>
  </si>
  <si>
    <t>SS24546BV02 Unextracted Mid 6</t>
  </si>
  <si>
    <t>SS24546BV02 Extracted IS 1</t>
  </si>
  <si>
    <t>SS24546BV02 Extracted IS 2</t>
  </si>
  <si>
    <t>SS24546BV02 Extracted IS 3</t>
  </si>
  <si>
    <t>SS24546BV02 Extracted IS 4</t>
  </si>
  <si>
    <t>SS24546BV02 Extracted IS 5</t>
  </si>
  <si>
    <t>SS24546BV02 Extracted IS 6</t>
  </si>
  <si>
    <t>检测批次编号：6</t>
    <phoneticPr fontId="4" type="noConversion"/>
  </si>
  <si>
    <r>
      <rPr>
        <sz val="10.5"/>
        <rFont val="宋体"/>
        <family val="3"/>
        <charset val="134"/>
      </rPr>
      <t>试验条件：在室温黄光下放置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小时的短期稳定性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</si>
  <si>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 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104</t>
    </r>
    <r>
      <rPr>
        <sz val="10.5"/>
        <rFont val="宋体"/>
        <family val="3"/>
        <charset val="134"/>
      </rPr>
      <t>小时的稳定性</t>
    </r>
    <phoneticPr fontId="4" type="noConversion"/>
  </si>
  <si>
    <r>
      <rPr>
        <sz val="10.5"/>
        <rFont val="宋体"/>
        <family val="3"/>
        <charset val="134"/>
      </rPr>
      <t>试验条件：全血样品在白光室温下放置</t>
    </r>
    <r>
      <rPr>
        <sz val="10.5"/>
        <rFont val="Times New Roman"/>
        <family val="1"/>
      </rPr>
      <t>0.5</t>
    </r>
    <r>
      <rPr>
        <sz val="10.5"/>
        <rFont val="宋体"/>
        <family val="3"/>
        <charset val="134"/>
      </rPr>
      <t>小时后，转移至黄光室温条件下放置1小时的稳定性。</t>
    </r>
    <phoneticPr fontId="4" type="noConversion"/>
  </si>
  <si>
    <r>
      <t>不适用</t>
    </r>
    <r>
      <rPr>
        <vertAlign val="superscript"/>
        <sz val="10.5"/>
        <rFont val="宋体"/>
        <family val="3"/>
        <charset val="134"/>
      </rPr>
      <t>1</t>
    </r>
    <phoneticPr fontId="4" type="noConversion"/>
  </si>
  <si>
    <t>注4：该分析批的两个STD2样品不符合接受标准。</t>
    <phoneticPr fontId="4" type="noConversion"/>
  </si>
  <si>
    <r>
      <t>系统适用性，标准曲线及范围，处理后样品稳定性</t>
    </r>
    <r>
      <rPr>
        <vertAlign val="superscript"/>
        <sz val="10.5"/>
        <rFont val="宋体"/>
        <family val="3"/>
        <charset val="134"/>
      </rPr>
      <t>7</t>
    </r>
    <r>
      <rPr>
        <sz val="10.5"/>
        <rFont val="宋体"/>
        <family val="3"/>
        <charset val="134"/>
      </rPr>
      <t>，残留评价</t>
    </r>
    <phoneticPr fontId="4" type="noConversion"/>
  </si>
  <si>
    <r>
      <rPr>
        <sz val="10.5"/>
        <rFont val="宋体"/>
        <family val="3"/>
        <charset val="134"/>
      </rPr>
      <t>注7：处理后样品稳定性实验，所使用的样品于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月15日第8个分析批中制备。</t>
    </r>
    <phoneticPr fontId="4" type="noConversion"/>
  </si>
  <si>
    <r>
      <rPr>
        <sz val="10.5"/>
        <rFont val="宋体"/>
        <family val="3"/>
        <charset val="134"/>
      </rPr>
      <t>符合接受标准的标曲样品定量下限内标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的平均峰面积值</t>
    </r>
    <phoneticPr fontId="4" type="noConversion"/>
  </si>
  <si>
    <t>KN-BM-25-196 29</t>
    <phoneticPr fontId="4" type="noConversion"/>
  </si>
  <si>
    <t>KN-BM-25-196 30</t>
  </si>
  <si>
    <t>KN-BM-25-196 31</t>
  </si>
  <si>
    <t>KN-BM-25-196 129</t>
    <phoneticPr fontId="4" type="noConversion"/>
  </si>
  <si>
    <t>KN-BM-25-196 130</t>
  </si>
  <si>
    <t>KN-BM-25-196 131</t>
  </si>
  <si>
    <t>KN-BM-25-196 29</t>
    <phoneticPr fontId="17" type="noConversion"/>
  </si>
  <si>
    <t>KN-BM-25-196 30</t>
    <phoneticPr fontId="17" type="noConversion"/>
  </si>
  <si>
    <t>KN-BM-25-196 31</t>
    <phoneticPr fontId="17" type="noConversion"/>
  </si>
  <si>
    <t>KN-BM-25-196 129</t>
    <phoneticPr fontId="17" type="noConversion"/>
  </si>
  <si>
    <t>KN-BM-25-196 130</t>
    <phoneticPr fontId="17" type="noConversion"/>
  </si>
  <si>
    <t>KN-BM-25-196 131</t>
    <phoneticPr fontId="17" type="noConversion"/>
  </si>
  <si>
    <r>
      <rPr>
        <sz val="10.5"/>
        <rFont val="宋体"/>
        <family val="3"/>
        <charset val="134"/>
      </rPr>
      <t>检测日期：</t>
    </r>
    <r>
      <rPr>
        <sz val="10.5"/>
        <rFont val="Times New Roman"/>
        <family val="1"/>
      </rPr>
      <t>2025/05/15</t>
    </r>
    <phoneticPr fontId="17" type="noConversion"/>
  </si>
  <si>
    <r>
      <rPr>
        <sz val="10.5"/>
        <rFont val="宋体"/>
        <family val="3"/>
        <charset val="134"/>
      </rPr>
      <t>内标</t>
    </r>
    <r>
      <rPr>
        <sz val="10.5"/>
        <rFont val="Times New Roman"/>
        <family val="3"/>
      </rPr>
      <t>ISSS24546</t>
    </r>
    <r>
      <rPr>
        <sz val="10.5"/>
        <rFont val="宋体"/>
        <family val="3"/>
        <charset val="134"/>
      </rPr>
      <t>保留时间处的峰面积</t>
    </r>
    <phoneticPr fontId="4" type="noConversion"/>
  </si>
  <si>
    <r>
      <rPr>
        <sz val="10.5"/>
        <rFont val="宋体"/>
        <family val="3"/>
        <charset val="134"/>
      </rPr>
      <t>符合接受标准的标曲样品定量下限的内标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的峰面积（均）值</t>
    </r>
    <phoneticPr fontId="4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</si>
  <si>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ISSS24546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4" type="noConversion"/>
  </si>
  <si>
    <t>成功批</t>
    <phoneticPr fontId="4" type="noConversion"/>
  </si>
  <si>
    <t>失败批</t>
    <phoneticPr fontId="4" type="noConversion"/>
  </si>
  <si>
    <t>#1419.685</t>
  </si>
  <si>
    <t>#9792.241</t>
  </si>
  <si>
    <t>#23615.439</t>
  </si>
  <si>
    <t>#175.552</t>
  </si>
  <si>
    <t>#1407.932</t>
  </si>
  <si>
    <t>#9472.905</t>
  </si>
  <si>
    <t>#23246.540</t>
  </si>
  <si>
    <t>#1387.319</t>
  </si>
  <si>
    <t>#9726.198</t>
  </si>
  <si>
    <t>#23822.805</t>
  </si>
  <si>
    <t>#22556.789</t>
  </si>
  <si>
    <t>#118.532</t>
  </si>
  <si>
    <t>#870.483</t>
  </si>
  <si>
    <t>#5903.192</t>
  </si>
  <si>
    <t>#15793.692</t>
  </si>
  <si>
    <t>#121.522</t>
  </si>
  <si>
    <t>#892.774</t>
  </si>
  <si>
    <t>#5679.747</t>
  </si>
  <si>
    <t>#118.819</t>
  </si>
  <si>
    <t>#872.745</t>
  </si>
  <si>
    <t>#5978.530</t>
  </si>
  <si>
    <t>#14858.043</t>
  </si>
  <si>
    <t>#111.539</t>
  </si>
  <si>
    <t>#122.499</t>
  </si>
  <si>
    <t>#115.621</t>
  </si>
  <si>
    <t>#1304.072</t>
  </si>
  <si>
    <t>#112.863</t>
  </si>
  <si>
    <t>#117.994</t>
  </si>
  <si>
    <t>#102.173</t>
  </si>
  <si>
    <t>#9077.245</t>
  </si>
  <si>
    <r>
      <t>#</t>
    </r>
    <r>
      <rPr>
        <sz val="10.5"/>
        <color theme="1"/>
        <rFont val="宋体"/>
        <family val="3"/>
        <charset val="134"/>
      </rPr>
      <t>表示不符合接受标准，仍参与统计计算</t>
    </r>
    <r>
      <rPr>
        <sz val="10.5"/>
        <color theme="1"/>
        <rFont val="宋体"/>
        <family val="1"/>
        <charset val="134"/>
      </rPr>
      <t>。</t>
    </r>
    <phoneticPr fontId="4" type="noConversion"/>
  </si>
  <si>
    <t>注：拒绝原因见表1。</t>
    <phoneticPr fontId="4" type="noConversion"/>
  </si>
  <si>
    <r>
      <rPr>
        <sz val="10.5"/>
        <rFont val="宋体"/>
        <family val="3"/>
        <charset val="134"/>
      </rPr>
      <t>工作液浓度：</t>
    </r>
    <r>
      <rPr>
        <sz val="10.5"/>
        <rFont val="Times New Roman"/>
        <family val="1"/>
      </rPr>
      <t>40000.000 ng/mL</t>
    </r>
    <phoneticPr fontId="4" type="noConversion"/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</si>
  <si>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小时，在室温黄光条件下融化。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</si>
  <si>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3"/>
      </rPr>
      <t>6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4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29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个分析批中制备。由于分析批6标曲质控样品制备完成后放置过久，故处理后样品稳定性实验于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19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9</t>
    </r>
    <r>
      <rPr>
        <sz val="10.5"/>
        <rFont val="宋体"/>
        <family val="3"/>
        <charset val="134"/>
      </rPr>
      <t>个分析批中重新考察。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</si>
</sst>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0.000000_ "/>
    <numFmt numFmtId="184" formatCode="yyyy/mm/dd\ hh:mm"/>
    <numFmt numFmtId="185" formatCode="0.00;[Red]0.00"/>
  </numFmts>
  <fonts count="50">
    <font>
      <sz val="11"/>
      <color theme="1"/>
      <name val="DengXian"/>
      <family val="2"/>
      <scheme val="minor"/>
    </font>
    <font>
      <sz val="11"/>
      <color indexed="8"/>
      <name val="Calibri"/>
      <family val="2"/>
    </font>
    <font>
      <sz val="10.5"/>
      <color indexed="8"/>
      <name val="宋体"/>
      <family val="3"/>
      <charset val="134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9"/>
      <name val="DengXian"/>
      <family val="2"/>
    </font>
    <font>
      <sz val="10.5"/>
      <name val="宋体"/>
      <family val="1"/>
      <charset val="134"/>
    </font>
    <font>
      <sz val="11"/>
      <color theme="1"/>
      <name val="Times New Roman"/>
      <family val="1"/>
    </font>
    <font>
      <sz val="11"/>
      <name val="宋体"/>
      <family val="3"/>
      <charset val="134"/>
    </font>
    <font>
      <sz val="10.5"/>
      <name val="Times New Roman"/>
      <family val="3"/>
    </font>
    <font>
      <sz val="11"/>
      <name val="Times New Roman"/>
      <family val="1"/>
      <charset val="134"/>
    </font>
    <font>
      <vertAlign val="superscript"/>
      <sz val="10.5"/>
      <name val="宋体"/>
      <family val="3"/>
      <charset val="134"/>
    </font>
    <font>
      <sz val="10.5"/>
      <color theme="1"/>
      <name val="宋体"/>
      <family val="1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0" fontId="7" fillId="2" borderId="0" applyNumberFormat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14" fillId="0" borderId="0"/>
    <xf numFmtId="0" fontId="3" fillId="0" borderId="0"/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/>
    <xf numFmtId="0" fontId="14" fillId="0" borderId="0"/>
    <xf numFmtId="0" fontId="22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6" borderId="0" applyNumberFormat="0" applyBorder="0" applyAlignment="0" applyProtection="0"/>
    <xf numFmtId="0" fontId="23" fillId="10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4" fillId="7" borderId="0" applyNumberFormat="0" applyBorder="0" applyAlignment="0" applyProtection="0"/>
    <xf numFmtId="0" fontId="24" fillId="11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4" borderId="0" applyNumberFormat="0" applyBorder="0" applyAlignment="0" applyProtection="0"/>
    <xf numFmtId="0" fontId="24" fillId="8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5" fillId="2" borderId="0" applyNumberFormat="0" applyBorder="0" applyAlignment="0" applyProtection="0"/>
    <xf numFmtId="0" fontId="26" fillId="30" borderId="28" applyNumberFormat="0" applyAlignment="0" applyProtection="0"/>
    <xf numFmtId="0" fontId="27" fillId="31" borderId="31" applyNumberFormat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0" borderId="25" applyNumberFormat="0" applyFill="0" applyAlignment="0" applyProtection="0"/>
    <xf numFmtId="0" fontId="31" fillId="0" borderId="26" applyNumberFormat="0" applyFill="0" applyAlignment="0" applyProtection="0"/>
    <xf numFmtId="0" fontId="32" fillId="0" borderId="27" applyNumberFormat="0" applyFill="0" applyAlignment="0" applyProtection="0"/>
    <xf numFmtId="0" fontId="32" fillId="0" borderId="0" applyNumberFormat="0" applyFill="0" applyBorder="0" applyAlignment="0" applyProtection="0"/>
    <xf numFmtId="0" fontId="33" fillId="29" borderId="28" applyNumberFormat="0" applyAlignment="0" applyProtection="0"/>
    <xf numFmtId="0" fontId="34" fillId="0" borderId="30" applyNumberFormat="0" applyFill="0" applyAlignment="0" applyProtection="0"/>
    <xf numFmtId="0" fontId="35" fillId="28" borderId="0" applyNumberFormat="0" applyBorder="0" applyAlignment="0" applyProtection="0"/>
    <xf numFmtId="0" fontId="23" fillId="32" borderId="32" applyNumberFormat="0" applyFont="0" applyAlignment="0" applyProtection="0"/>
    <xf numFmtId="0" fontId="36" fillId="30" borderId="29" applyNumberFormat="0" applyAlignment="0" applyProtection="0"/>
    <xf numFmtId="0" fontId="37" fillId="0" borderId="0" applyNumberFormat="0" applyFill="0" applyBorder="0" applyAlignment="0" applyProtection="0"/>
    <xf numFmtId="0" fontId="38" fillId="0" borderId="33" applyNumberFormat="0" applyFill="0" applyAlignment="0" applyProtection="0"/>
    <xf numFmtId="0" fontId="39" fillId="0" borderId="0" applyNumberFormat="0" applyFill="0" applyBorder="0" applyAlignment="0" applyProtection="0"/>
    <xf numFmtId="0" fontId="41" fillId="2" borderId="0" applyNumberFormat="0" applyBorder="0" applyAlignment="0" applyProtection="0"/>
    <xf numFmtId="0" fontId="21" fillId="2" borderId="0" applyNumberFormat="0" applyBorder="0" applyAlignment="0" applyProtection="0"/>
    <xf numFmtId="0" fontId="19" fillId="0" borderId="0"/>
    <xf numFmtId="0" fontId="22" fillId="3" borderId="0" applyNumberFormat="0" applyBorder="0" applyAlignment="0" applyProtection="0">
      <alignment vertical="center"/>
    </xf>
    <xf numFmtId="0" fontId="21" fillId="2" borderId="0" applyNumberFormat="0" applyBorder="0" applyAlignment="0" applyProtection="0"/>
  </cellStyleXfs>
  <cellXfs count="212">
    <xf numFmtId="0" fontId="0" fillId="0" borderId="0" xfId="0"/>
    <xf numFmtId="0" fontId="12" fillId="0" borderId="0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/>
    </xf>
    <xf numFmtId="1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182" fontId="12" fillId="0" borderId="4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 wrapText="1"/>
    </xf>
    <xf numFmtId="183" fontId="12" fillId="0" borderId="1" xfId="2" applyNumberFormat="1" applyFont="1" applyBorder="1" applyAlignment="1">
      <alignment horizontal="center" vertical="center" wrapText="1"/>
    </xf>
    <xf numFmtId="177" fontId="12" fillId="0" borderId="1" xfId="2" applyNumberFormat="1" applyFont="1" applyBorder="1" applyAlignment="1">
      <alignment horizontal="center" vertical="center" wrapText="1"/>
    </xf>
    <xf numFmtId="0" fontId="40" fillId="0" borderId="0" xfId="0" applyFont="1"/>
    <xf numFmtId="0" fontId="12" fillId="0" borderId="0" xfId="0" applyFont="1" applyAlignment="1">
      <alignment horizontal="right" vertical="center"/>
    </xf>
    <xf numFmtId="184" fontId="12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185" fontId="12" fillId="0" borderId="0" xfId="0" applyNumberFormat="1" applyFont="1" applyAlignment="1">
      <alignment horizontal="left" vertical="center"/>
    </xf>
    <xf numFmtId="182" fontId="12" fillId="0" borderId="0" xfId="0" applyNumberFormat="1" applyFont="1"/>
    <xf numFmtId="176" fontId="12" fillId="0" borderId="0" xfId="0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77" fontId="10" fillId="0" borderId="1" xfId="0" applyNumberFormat="1" applyFont="1" applyBorder="1" applyAlignment="1">
      <alignment horizontal="center" vertical="center" wrapText="1"/>
    </xf>
    <xf numFmtId="177" fontId="12" fillId="0" borderId="0" xfId="0" applyNumberFormat="1" applyFont="1" applyAlignment="1">
      <alignment horizontal="left"/>
    </xf>
    <xf numFmtId="0" fontId="12" fillId="0" borderId="0" xfId="0" applyFont="1" applyAlignment="1">
      <alignment vertical="center"/>
    </xf>
    <xf numFmtId="177" fontId="12" fillId="0" borderId="0" xfId="0" applyNumberFormat="1" applyFont="1"/>
    <xf numFmtId="0" fontId="10" fillId="0" borderId="0" xfId="0" applyFont="1" applyAlignment="1">
      <alignment vertical="center"/>
    </xf>
    <xf numFmtId="180" fontId="16" fillId="0" borderId="0" xfId="0" applyNumberFormat="1" applyFont="1" applyAlignment="1">
      <alignment horizontal="right" vertical="center"/>
    </xf>
    <xf numFmtId="0" fontId="40" fillId="0" borderId="1" xfId="0" applyFont="1" applyBorder="1" applyAlignment="1">
      <alignment horizontal="center" vertical="center" wrapText="1"/>
    </xf>
    <xf numFmtId="183" fontId="10" fillId="0" borderId="1" xfId="0" applyNumberFormat="1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83" fontId="10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right" vertical="center"/>
    </xf>
    <xf numFmtId="1" fontId="10" fillId="0" borderId="9" xfId="0" applyNumberFormat="1" applyFont="1" applyBorder="1" applyAlignment="1">
      <alignment horizontal="center" vertical="center"/>
    </xf>
    <xf numFmtId="183" fontId="10" fillId="0" borderId="23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right" vertical="center"/>
    </xf>
    <xf numFmtId="1" fontId="10" fillId="0" borderId="3" xfId="0" applyNumberFormat="1" applyFont="1" applyBorder="1" applyAlignment="1">
      <alignment horizontal="center" vertical="center"/>
    </xf>
    <xf numFmtId="183" fontId="10" fillId="0" borderId="24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vertical="center"/>
    </xf>
    <xf numFmtId="0" fontId="44" fillId="0" borderId="0" xfId="0" applyFont="1"/>
    <xf numFmtId="0" fontId="10" fillId="0" borderId="1" xfId="78" applyFont="1" applyBorder="1" applyAlignment="1">
      <alignment horizontal="center" vertical="center" wrapText="1"/>
    </xf>
    <xf numFmtId="0" fontId="12" fillId="0" borderId="1" xfId="78" applyFont="1" applyBorder="1" applyAlignment="1">
      <alignment horizontal="center" vertical="center" wrapText="1"/>
    </xf>
    <xf numFmtId="177" fontId="10" fillId="0" borderId="1" xfId="78" applyNumberFormat="1" applyFont="1" applyBorder="1" applyAlignment="1">
      <alignment horizontal="center" vertical="center" wrapText="1"/>
    </xf>
    <xf numFmtId="183" fontId="16" fillId="0" borderId="1" xfId="78" applyNumberFormat="1" applyFont="1" applyBorder="1" applyAlignment="1">
      <alignment horizontal="center" vertical="center"/>
    </xf>
    <xf numFmtId="177" fontId="16" fillId="0" borderId="1" xfId="78" applyNumberFormat="1" applyFont="1" applyBorder="1" applyAlignment="1">
      <alignment horizontal="center" vertical="center"/>
    </xf>
    <xf numFmtId="183" fontId="10" fillId="0" borderId="1" xfId="78" applyNumberFormat="1" applyFont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7" fontId="16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3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177" fontId="10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3" applyFont="1"/>
    <xf numFmtId="177" fontId="12" fillId="0" borderId="0" xfId="3" applyNumberFormat="1" applyFont="1"/>
    <xf numFmtId="0" fontId="40" fillId="0" borderId="0" xfId="3" applyFont="1"/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1" xfId="5" applyFont="1" applyFill="1" applyBorder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0" borderId="0" xfId="3" applyFont="1" applyAlignment="1">
      <alignment horizontal="center"/>
    </xf>
    <xf numFmtId="0" fontId="40" fillId="0" borderId="4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justify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0" fontId="45" fillId="0" borderId="0" xfId="0" applyFont="1"/>
    <xf numFmtId="0" fontId="47" fillId="0" borderId="0" xfId="0" applyFont="1"/>
    <xf numFmtId="14" fontId="12" fillId="0" borderId="0" xfId="0" applyNumberFormat="1" applyFont="1"/>
    <xf numFmtId="0" fontId="5" fillId="0" borderId="0" xfId="0" applyFont="1" applyAlignment="1">
      <alignment vertical="center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182" fontId="12" fillId="0" borderId="2" xfId="0" applyNumberFormat="1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82" fontId="16" fillId="0" borderId="1" xfId="0" applyNumberFormat="1" applyFont="1" applyBorder="1" applyAlignment="1" applyProtection="1">
      <alignment horizontal="center" vertical="center"/>
      <protection locked="0"/>
    </xf>
    <xf numFmtId="177" fontId="16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82" fontId="10" fillId="0" borderId="1" xfId="0" applyNumberFormat="1" applyFont="1" applyBorder="1" applyAlignment="1" applyProtection="1">
      <alignment horizontal="center" vertical="center"/>
      <protection locked="0"/>
    </xf>
    <xf numFmtId="177" fontId="10" fillId="0" borderId="1" xfId="0" applyNumberFormat="1" applyFont="1" applyBorder="1" applyAlignment="1" applyProtection="1">
      <alignment horizontal="center" vertical="center"/>
      <protection locked="0"/>
    </xf>
    <xf numFmtId="179" fontId="10" fillId="0" borderId="1" xfId="0" applyNumberFormat="1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7" xfId="0" applyFont="1" applyBorder="1" applyAlignment="1" applyProtection="1">
      <alignment vertical="center"/>
      <protection locked="0"/>
    </xf>
    <xf numFmtId="0" fontId="12" fillId="0" borderId="7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81" fontId="12" fillId="0" borderId="1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177" fontId="40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0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21" xfId="0" applyFont="1" applyBorder="1" applyAlignment="1" applyProtection="1">
      <alignment horizontal="left" vertical="center" wrapText="1"/>
      <protection locked="0"/>
    </xf>
    <xf numFmtId="0" fontId="10" fillId="0" borderId="19" xfId="0" applyFont="1" applyBorder="1" applyAlignment="1" applyProtection="1">
      <alignment horizontal="left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181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177" fontId="12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40" fillId="0" borderId="4" xfId="78" applyFont="1" applyBorder="1" applyAlignment="1">
      <alignment horizontal="left" vertical="center" wrapText="1"/>
    </xf>
    <xf numFmtId="0" fontId="12" fillId="0" borderId="8" xfId="78" applyFont="1" applyBorder="1" applyAlignment="1">
      <alignment horizontal="left" vertical="center" wrapText="1"/>
    </xf>
    <xf numFmtId="0" fontId="12" fillId="0" borderId="6" xfId="78" applyFont="1" applyBorder="1" applyAlignment="1">
      <alignment horizontal="left" vertical="center" wrapText="1"/>
    </xf>
    <xf numFmtId="177" fontId="10" fillId="0" borderId="13" xfId="78" applyNumberFormat="1" applyFont="1" applyBorder="1" applyAlignment="1">
      <alignment horizontal="center" vertical="center" wrapText="1"/>
    </xf>
    <xf numFmtId="177" fontId="10" fillId="0" borderId="14" xfId="78" applyNumberFormat="1" applyFont="1" applyBorder="1" applyAlignment="1">
      <alignment horizontal="center" vertical="center" wrapText="1"/>
    </xf>
    <xf numFmtId="177" fontId="10" fillId="0" borderId="17" xfId="78" applyNumberFormat="1" applyFont="1" applyBorder="1" applyAlignment="1">
      <alignment horizontal="center" vertical="center" wrapText="1"/>
    </xf>
    <xf numFmtId="177" fontId="10" fillId="0" borderId="18" xfId="78" applyNumberFormat="1" applyFont="1" applyBorder="1" applyAlignment="1">
      <alignment horizontal="center" vertical="center" wrapText="1"/>
    </xf>
    <xf numFmtId="0" fontId="10" fillId="0" borderId="5" xfId="78" applyFont="1" applyBorder="1" applyAlignment="1">
      <alignment horizontal="center" vertical="center" wrapText="1"/>
    </xf>
    <xf numFmtId="0" fontId="10" fillId="0" borderId="4" xfId="78" applyFont="1" applyBorder="1" applyAlignment="1">
      <alignment horizontal="center" vertical="center" wrapText="1"/>
    </xf>
    <xf numFmtId="0" fontId="10" fillId="0" borderId="8" xfId="78" applyFont="1" applyBorder="1" applyAlignment="1">
      <alignment horizontal="center" vertical="center" wrapText="1"/>
    </xf>
    <xf numFmtId="0" fontId="10" fillId="0" borderId="6" xfId="78" applyFont="1" applyBorder="1" applyAlignment="1">
      <alignment horizontal="center" vertical="center" wrapText="1"/>
    </xf>
    <xf numFmtId="0" fontId="10" fillId="0" borderId="1" xfId="78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177" fontId="12" fillId="0" borderId="9" xfId="0" applyNumberFormat="1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 wrapText="1"/>
    </xf>
    <xf numFmtId="181" fontId="12" fillId="0" borderId="2" xfId="0" applyNumberFormat="1" applyFont="1" applyBorder="1" applyAlignment="1" applyProtection="1">
      <alignment horizontal="center" vertical="center"/>
      <protection locked="0"/>
    </xf>
    <xf numFmtId="181" fontId="12" fillId="0" borderId="9" xfId="0" applyNumberFormat="1" applyFont="1" applyBorder="1" applyAlignment="1" applyProtection="1">
      <alignment horizontal="center" vertical="center"/>
      <protection locked="0"/>
    </xf>
    <xf numFmtId="181" fontId="12" fillId="0" borderId="3" xfId="0" applyNumberFormat="1" applyFont="1" applyBorder="1" applyAlignment="1" applyProtection="1">
      <alignment horizontal="center" vertical="center"/>
      <protection locked="0"/>
    </xf>
    <xf numFmtId="177" fontId="12" fillId="0" borderId="10" xfId="0" applyNumberFormat="1" applyFont="1" applyBorder="1" applyAlignment="1">
      <alignment horizontal="center" vertical="center" wrapText="1"/>
    </xf>
    <xf numFmtId="177" fontId="12" fillId="0" borderId="11" xfId="0" applyNumberFormat="1" applyFont="1" applyBorder="1" applyAlignment="1">
      <alignment horizontal="center" vertical="center" wrapText="1"/>
    </xf>
    <xf numFmtId="177" fontId="12" fillId="0" borderId="1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left"/>
    </xf>
    <xf numFmtId="177" fontId="12" fillId="0" borderId="1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</cellXfs>
  <cellStyles count="81">
    <cellStyle name="20% - Accent1" xfId="35" xr:uid="{00000000-0005-0000-0000-000000000000}"/>
    <cellStyle name="20% - Accent2" xfId="36" xr:uid="{00000000-0005-0000-0000-000001000000}"/>
    <cellStyle name="20% - Accent3" xfId="37" xr:uid="{00000000-0005-0000-0000-000002000000}"/>
    <cellStyle name="20% - Accent4" xfId="38" xr:uid="{00000000-0005-0000-0000-000003000000}"/>
    <cellStyle name="20% - Accent5" xfId="39" xr:uid="{00000000-0005-0000-0000-000004000000}"/>
    <cellStyle name="20% - Accent6" xfId="40" xr:uid="{00000000-0005-0000-0000-000005000000}"/>
    <cellStyle name="20% - 强调文字颜色 1" xfId="8" xr:uid="{00000000-0005-0000-0000-000006000000}"/>
    <cellStyle name="20% - 强调文字颜色 2" xfId="9" xr:uid="{00000000-0005-0000-0000-000007000000}"/>
    <cellStyle name="20% - 强调文字颜色 3" xfId="10" xr:uid="{00000000-0005-0000-0000-000008000000}"/>
    <cellStyle name="20% - 强调文字颜色 4" xfId="11" xr:uid="{00000000-0005-0000-0000-000009000000}"/>
    <cellStyle name="20% - 强调文字颜色 5" xfId="12" xr:uid="{00000000-0005-0000-0000-00000A000000}"/>
    <cellStyle name="20% - 强调文字颜色 6" xfId="13" xr:uid="{00000000-0005-0000-0000-00000B000000}"/>
    <cellStyle name="40% - Accent1" xfId="41" xr:uid="{00000000-0005-0000-0000-00000C000000}"/>
    <cellStyle name="40% - Accent2" xfId="42" xr:uid="{00000000-0005-0000-0000-00000D000000}"/>
    <cellStyle name="40% - Accent3" xfId="43" xr:uid="{00000000-0005-0000-0000-00000E000000}"/>
    <cellStyle name="40% - Accent4" xfId="44" xr:uid="{00000000-0005-0000-0000-00000F000000}"/>
    <cellStyle name="40% - Accent5" xfId="45" xr:uid="{00000000-0005-0000-0000-000010000000}"/>
    <cellStyle name="40% - Accent6" xfId="46" xr:uid="{00000000-0005-0000-0000-000011000000}"/>
    <cellStyle name="40% - 强调文字颜色 1" xfId="14" xr:uid="{00000000-0005-0000-0000-000012000000}"/>
    <cellStyle name="40% - 强调文字颜色 2" xfId="15" xr:uid="{00000000-0005-0000-0000-000013000000}"/>
    <cellStyle name="40% - 强调文字颜色 3" xfId="16" xr:uid="{00000000-0005-0000-0000-000014000000}"/>
    <cellStyle name="40% - 强调文字颜色 4" xfId="17" xr:uid="{00000000-0005-0000-0000-000015000000}"/>
    <cellStyle name="40% - 强调文字颜色 5" xfId="18" xr:uid="{00000000-0005-0000-0000-000016000000}"/>
    <cellStyle name="40% - 强调文字颜色 6" xfId="19" xr:uid="{00000000-0005-0000-0000-000017000000}"/>
    <cellStyle name="60% - Accent1" xfId="47" xr:uid="{00000000-0005-0000-0000-000018000000}"/>
    <cellStyle name="60% - Accent2" xfId="48" xr:uid="{00000000-0005-0000-0000-000019000000}"/>
    <cellStyle name="60% - Accent3" xfId="49" xr:uid="{00000000-0005-0000-0000-00001A000000}"/>
    <cellStyle name="60% - Accent4" xfId="50" xr:uid="{00000000-0005-0000-0000-00001B000000}"/>
    <cellStyle name="60% - Accent5" xfId="51" xr:uid="{00000000-0005-0000-0000-00001C000000}"/>
    <cellStyle name="60% - Accent6" xfId="52" xr:uid="{00000000-0005-0000-0000-00001D000000}"/>
    <cellStyle name="60% - 强调文字颜色 1" xfId="20" xr:uid="{00000000-0005-0000-0000-00001E000000}"/>
    <cellStyle name="60% - 强调文字颜色 2" xfId="21" xr:uid="{00000000-0005-0000-0000-00001F000000}"/>
    <cellStyle name="60% - 强调文字颜色 3" xfId="22" xr:uid="{00000000-0005-0000-0000-000020000000}"/>
    <cellStyle name="60% - 强调文字颜色 4" xfId="23" xr:uid="{00000000-0005-0000-0000-000021000000}"/>
    <cellStyle name="60% - 强调文字颜色 5" xfId="24" xr:uid="{00000000-0005-0000-0000-000022000000}"/>
    <cellStyle name="60% - 强调文字颜色 6" xfId="25" xr:uid="{00000000-0005-0000-0000-000023000000}"/>
    <cellStyle name="Accent1" xfId="53" xr:uid="{00000000-0005-0000-0000-000024000000}"/>
    <cellStyle name="Accent2" xfId="54" xr:uid="{00000000-0005-0000-0000-000025000000}"/>
    <cellStyle name="Accent3" xfId="55" xr:uid="{00000000-0005-0000-0000-000026000000}"/>
    <cellStyle name="Accent4" xfId="56" xr:uid="{00000000-0005-0000-0000-000027000000}"/>
    <cellStyle name="Accent5" xfId="57" xr:uid="{00000000-0005-0000-0000-000028000000}"/>
    <cellStyle name="Accent6" xfId="58" xr:uid="{00000000-0005-0000-0000-000029000000}"/>
    <cellStyle name="Bad" xfId="59" xr:uid="{00000000-0005-0000-0000-00002A000000}"/>
    <cellStyle name="Bad 2" xfId="1" xr:uid="{00000000-0005-0000-0000-00002B000000}"/>
    <cellStyle name="Bad_表11_Recovery" xfId="76" xr:uid="{00000000-0005-0000-0000-00002C000000}"/>
    <cellStyle name="Calculation" xfId="60" xr:uid="{00000000-0005-0000-0000-00002D000000}"/>
    <cellStyle name="Check Cell" xfId="61" xr:uid="{00000000-0005-0000-0000-00002E000000}"/>
    <cellStyle name="Explanatory Text" xfId="62" xr:uid="{00000000-0005-0000-0000-00002F000000}"/>
    <cellStyle name="Good" xfId="63" xr:uid="{00000000-0005-0000-0000-000030000000}"/>
    <cellStyle name="Heading 1" xfId="64" xr:uid="{00000000-0005-0000-0000-000031000000}"/>
    <cellStyle name="Heading 2" xfId="65" xr:uid="{00000000-0005-0000-0000-000032000000}"/>
    <cellStyle name="Heading 3" xfId="66" xr:uid="{00000000-0005-0000-0000-000033000000}"/>
    <cellStyle name="Heading 4" xfId="67" xr:uid="{00000000-0005-0000-0000-000034000000}"/>
    <cellStyle name="Input" xfId="68" xr:uid="{00000000-0005-0000-0000-000035000000}"/>
    <cellStyle name="Linked Cell" xfId="69" xr:uid="{00000000-0005-0000-0000-000036000000}"/>
    <cellStyle name="Neutral" xfId="70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te" xfId="71" xr:uid="{00000000-0005-0000-0000-00003C000000}"/>
    <cellStyle name="Output" xfId="72" xr:uid="{00000000-0005-0000-0000-00003D000000}"/>
    <cellStyle name="Percent 2" xfId="4" xr:uid="{00000000-0005-0000-0000-00003E000000}"/>
    <cellStyle name="Title" xfId="73" xr:uid="{00000000-0005-0000-0000-00003F000000}"/>
    <cellStyle name="Total" xfId="74" xr:uid="{00000000-0005-0000-0000-000040000000}"/>
    <cellStyle name="Warning Text" xfId="75" xr:uid="{00000000-0005-0000-0000-000041000000}"/>
    <cellStyle name="差" xfId="5" builtinId="27"/>
    <cellStyle name="差_1.1" xfId="26" xr:uid="{00000000-0005-0000-0000-000043000000}"/>
    <cellStyle name="差_表11_Recovery" xfId="77" xr:uid="{00000000-0005-0000-0000-000044000000}"/>
    <cellStyle name="差_表25_干扰" xfId="80" xr:uid="{00000000-0005-0000-0000-000045000000}"/>
    <cellStyle name="常规" xfId="0" builtinId="0"/>
    <cellStyle name="常规 2" xfId="27" xr:uid="{00000000-0005-0000-0000-000047000000}"/>
    <cellStyle name="常规 2 2" xfId="6" xr:uid="{00000000-0005-0000-0000-000048000000}"/>
    <cellStyle name="常规_表11_Recovery" xfId="78" xr:uid="{00000000-0005-0000-0000-00004A000000}"/>
    <cellStyle name="好_1.1" xfId="28" xr:uid="{00000000-0005-0000-0000-00004C000000}"/>
    <cellStyle name="好_表11_Recovery" xfId="79" xr:uid="{00000000-0005-0000-0000-00004D000000}"/>
    <cellStyle name="强调文字颜色 1" xfId="29" xr:uid="{00000000-0005-0000-0000-00004E000000}"/>
    <cellStyle name="强调文字颜色 2" xfId="30" xr:uid="{00000000-0005-0000-0000-00004F000000}"/>
    <cellStyle name="强调文字颜色 3" xfId="31" xr:uid="{00000000-0005-0000-0000-000050000000}"/>
    <cellStyle name="强调文字颜色 4" xfId="32" xr:uid="{00000000-0005-0000-0000-000051000000}"/>
    <cellStyle name="强调文字颜色 5" xfId="33" xr:uid="{00000000-0005-0000-0000-000052000000}"/>
    <cellStyle name="强调文字颜色 6" xfId="34" xr:uid="{00000000-0005-0000-0000-00005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K28"/>
  <sheetViews>
    <sheetView tabSelected="1" topLeftCell="A4" zoomScaleNormal="100" zoomScaleSheetLayoutView="100" workbookViewId="0">
      <selection activeCell="I7" sqref="I7"/>
    </sheetView>
  </sheetViews>
  <sheetFormatPr defaultColWidth="8.875" defaultRowHeight="13.5"/>
  <cols>
    <col min="1" max="1" width="7.875" style="4" customWidth="1"/>
    <col min="2" max="2" width="69.125" style="4" customWidth="1"/>
    <col min="3" max="4" width="12.25" style="4" customWidth="1"/>
    <col min="5" max="5" width="13.875" style="36" customWidth="1"/>
    <col min="6" max="6" width="10" style="4" bestFit="1" customWidth="1"/>
    <col min="7" max="7" width="6" style="4" customWidth="1"/>
    <col min="8" max="12" width="8.875" style="4"/>
    <col min="13" max="13" width="8.875" style="4" customWidth="1"/>
    <col min="14" max="14" width="9.25" style="4" customWidth="1"/>
    <col min="15" max="16384" width="8.875" style="4"/>
  </cols>
  <sheetData>
    <row r="2" spans="1:11">
      <c r="A2" s="126" t="s">
        <v>43</v>
      </c>
      <c r="B2" s="126"/>
      <c r="C2" s="5"/>
    </row>
    <row r="3" spans="1:11">
      <c r="A3" s="93"/>
    </row>
    <row r="4" spans="1:11" ht="33" customHeight="1">
      <c r="A4" s="7" t="s">
        <v>9</v>
      </c>
      <c r="B4" s="7" t="s">
        <v>10</v>
      </c>
      <c r="C4" s="7" t="s">
        <v>62</v>
      </c>
      <c r="D4" s="7" t="s">
        <v>11</v>
      </c>
      <c r="E4" s="47" t="s">
        <v>121</v>
      </c>
      <c r="F4" s="94" t="s">
        <v>102</v>
      </c>
    </row>
    <row r="5" spans="1:11" ht="33" customHeight="1">
      <c r="A5" s="95">
        <v>1</v>
      </c>
      <c r="B5" s="96" t="s">
        <v>110</v>
      </c>
      <c r="C5" s="97">
        <v>45771</v>
      </c>
      <c r="D5" s="97">
        <v>45771</v>
      </c>
      <c r="E5" s="98" t="s">
        <v>109</v>
      </c>
      <c r="F5" s="80" t="s">
        <v>108</v>
      </c>
    </row>
    <row r="6" spans="1:11" ht="33" customHeight="1">
      <c r="A6" s="95">
        <v>2</v>
      </c>
      <c r="B6" s="99" t="s">
        <v>103</v>
      </c>
      <c r="C6" s="97">
        <v>45772</v>
      </c>
      <c r="D6" s="97">
        <v>45772</v>
      </c>
      <c r="E6" s="92" t="s">
        <v>166</v>
      </c>
      <c r="F6" s="80" t="s">
        <v>108</v>
      </c>
    </row>
    <row r="7" spans="1:11" ht="33" customHeight="1">
      <c r="A7" s="95">
        <v>3</v>
      </c>
      <c r="B7" s="100" t="s">
        <v>111</v>
      </c>
      <c r="C7" s="97">
        <v>45774</v>
      </c>
      <c r="D7" s="97">
        <v>45774</v>
      </c>
      <c r="E7" s="98" t="s">
        <v>115</v>
      </c>
      <c r="F7" s="80" t="s">
        <v>108</v>
      </c>
    </row>
    <row r="8" spans="1:11" ht="33" customHeight="1">
      <c r="A8" s="95">
        <v>4</v>
      </c>
      <c r="B8" s="96" t="s">
        <v>117</v>
      </c>
      <c r="C8" s="97">
        <v>45775</v>
      </c>
      <c r="D8" s="97">
        <v>45776</v>
      </c>
      <c r="E8" s="98" t="s">
        <v>115</v>
      </c>
      <c r="F8" s="80" t="s">
        <v>108</v>
      </c>
    </row>
    <row r="9" spans="1:11" ht="33" customHeight="1">
      <c r="A9" s="95">
        <v>5</v>
      </c>
      <c r="B9" s="96" t="s">
        <v>113</v>
      </c>
      <c r="C9" s="97">
        <v>45776</v>
      </c>
      <c r="D9" s="97">
        <v>45778</v>
      </c>
      <c r="E9" s="98" t="s">
        <v>109</v>
      </c>
      <c r="F9" s="80" t="s">
        <v>108</v>
      </c>
    </row>
    <row r="10" spans="1:11" ht="33" customHeight="1">
      <c r="A10" s="95">
        <v>6</v>
      </c>
      <c r="B10" s="100" t="s">
        <v>144</v>
      </c>
      <c r="C10" s="97">
        <v>45783</v>
      </c>
      <c r="D10" s="97">
        <v>45785</v>
      </c>
      <c r="E10" s="98" t="s">
        <v>109</v>
      </c>
      <c r="F10" s="80" t="s">
        <v>108</v>
      </c>
      <c r="K10" s="4">
        <v>50</v>
      </c>
    </row>
    <row r="11" spans="1:11" ht="33" customHeight="1">
      <c r="A11" s="95">
        <v>7</v>
      </c>
      <c r="B11" s="96" t="s">
        <v>114</v>
      </c>
      <c r="C11" s="97">
        <v>45786</v>
      </c>
      <c r="D11" s="97">
        <v>45786</v>
      </c>
      <c r="E11" s="98" t="s">
        <v>119</v>
      </c>
      <c r="F11" s="80" t="s">
        <v>108</v>
      </c>
    </row>
    <row r="12" spans="1:11" ht="33" customHeight="1">
      <c r="A12" s="95">
        <v>8</v>
      </c>
      <c r="B12" s="96" t="s">
        <v>143</v>
      </c>
      <c r="C12" s="97">
        <v>45792</v>
      </c>
      <c r="D12" s="97">
        <v>45792</v>
      </c>
      <c r="E12" s="98" t="s">
        <v>109</v>
      </c>
      <c r="F12" s="80" t="s">
        <v>108</v>
      </c>
    </row>
    <row r="13" spans="1:11" ht="33" customHeight="1">
      <c r="A13" s="95">
        <v>9</v>
      </c>
      <c r="B13" s="96" t="s">
        <v>168</v>
      </c>
      <c r="C13" s="97">
        <v>45796</v>
      </c>
      <c r="D13" s="97">
        <v>45796</v>
      </c>
      <c r="E13" s="98" t="s">
        <v>109</v>
      </c>
      <c r="F13" s="80" t="s">
        <v>108</v>
      </c>
    </row>
    <row r="14" spans="1:11" ht="33" customHeight="1">
      <c r="A14" s="72" t="s">
        <v>63</v>
      </c>
    </row>
    <row r="15" spans="1:11">
      <c r="A15" s="101" t="s">
        <v>104</v>
      </c>
      <c r="B15" s="101"/>
      <c r="C15" s="101"/>
      <c r="D15" s="101"/>
      <c r="E15" s="101"/>
      <c r="F15" s="101"/>
    </row>
    <row r="16" spans="1:11">
      <c r="A16" s="101" t="s">
        <v>116</v>
      </c>
      <c r="B16" s="102"/>
      <c r="C16" s="102"/>
      <c r="D16" s="102"/>
      <c r="E16" s="102"/>
      <c r="F16" s="102"/>
    </row>
    <row r="17" spans="1:7">
      <c r="A17" s="101" t="s">
        <v>118</v>
      </c>
      <c r="B17" s="102"/>
      <c r="C17" s="102"/>
      <c r="D17" s="102"/>
      <c r="E17" s="102"/>
      <c r="F17" s="102"/>
    </row>
    <row r="18" spans="1:7">
      <c r="A18" s="106" t="s">
        <v>167</v>
      </c>
      <c r="E18" s="4"/>
    </row>
    <row r="19" spans="1:7">
      <c r="A19" s="101" t="s">
        <v>145</v>
      </c>
      <c r="E19" s="4"/>
    </row>
    <row r="20" spans="1:7" ht="15">
      <c r="A20" s="101" t="s">
        <v>223</v>
      </c>
      <c r="B20" s="37"/>
      <c r="C20" s="37"/>
      <c r="D20" s="37"/>
      <c r="E20" s="37"/>
    </row>
    <row r="21" spans="1:7" ht="15">
      <c r="A21" s="101" t="s">
        <v>169</v>
      </c>
      <c r="B21" s="103"/>
      <c r="C21" s="37"/>
      <c r="D21" s="37"/>
      <c r="E21" s="37"/>
    </row>
    <row r="22" spans="1:7" ht="15">
      <c r="B22" s="37"/>
      <c r="C22" s="37"/>
      <c r="D22" s="37"/>
      <c r="E22" s="37"/>
    </row>
    <row r="23" spans="1:7" ht="15">
      <c r="B23" s="37"/>
      <c r="C23" s="37"/>
      <c r="D23" s="37"/>
      <c r="E23" s="37"/>
    </row>
    <row r="24" spans="1:7" ht="15">
      <c r="B24" s="37"/>
      <c r="C24" s="37"/>
      <c r="D24" s="37"/>
      <c r="E24" s="37"/>
    </row>
    <row r="25" spans="1:7" ht="15">
      <c r="B25" s="103"/>
      <c r="C25" s="104"/>
      <c r="D25" s="37"/>
      <c r="E25" s="37"/>
    </row>
    <row r="26" spans="1:7" ht="15">
      <c r="B26" s="37"/>
      <c r="C26" s="37"/>
      <c r="D26" s="37"/>
      <c r="E26" s="37"/>
      <c r="F26" s="105"/>
      <c r="G26" s="105"/>
    </row>
    <row r="27" spans="1:7" ht="15">
      <c r="B27" s="37"/>
      <c r="C27" s="37"/>
      <c r="D27" s="37"/>
      <c r="E27" s="37"/>
    </row>
    <row r="28" spans="1:7" ht="15">
      <c r="B28" s="37"/>
      <c r="C28" s="37"/>
      <c r="D28" s="37"/>
      <c r="E28" s="37"/>
    </row>
  </sheetData>
  <mergeCells count="1">
    <mergeCell ref="A2:B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&amp;CSS24546BV02生物分析方法学验证数据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14"/>
  <sheetViews>
    <sheetView zoomScaleNormal="100" zoomScaleSheetLayoutView="100" workbookViewId="0">
      <selection activeCell="B8" sqref="B8:B13"/>
    </sheetView>
  </sheetViews>
  <sheetFormatPr defaultColWidth="8.875" defaultRowHeight="13.5"/>
  <cols>
    <col min="1" max="1" width="18.125" style="9" bestFit="1" customWidth="1"/>
    <col min="2" max="2" width="19.25" style="9" customWidth="1"/>
    <col min="3" max="3" width="10.375" style="9" customWidth="1"/>
    <col min="4" max="4" width="20.625" style="9" customWidth="1"/>
    <col min="5" max="6" width="10.375" style="9" customWidth="1"/>
    <col min="7" max="7" width="20.125" style="9" customWidth="1"/>
    <col min="8" max="8" width="10.375" style="9" customWidth="1"/>
    <col min="9" max="16384" width="8.875" style="9"/>
  </cols>
  <sheetData>
    <row r="1" spans="1:8" ht="15" customHeight="1"/>
    <row r="2" spans="1:8" ht="15" customHeight="1">
      <c r="A2" s="130" t="s">
        <v>42</v>
      </c>
      <c r="B2" s="130"/>
      <c r="C2" s="130"/>
    </row>
    <row r="3" spans="1:8" ht="15" customHeight="1">
      <c r="B3" s="72"/>
      <c r="C3" s="72"/>
    </row>
    <row r="4" spans="1:8" ht="15" customHeight="1">
      <c r="A4" s="72" t="s">
        <v>120</v>
      </c>
      <c r="C4" s="9" t="s">
        <v>84</v>
      </c>
    </row>
    <row r="5" spans="1:8" ht="15" customHeight="1">
      <c r="A5" s="132" t="s">
        <v>129</v>
      </c>
      <c r="B5" s="133"/>
      <c r="C5" s="133"/>
      <c r="D5" s="133"/>
      <c r="E5" s="133"/>
      <c r="F5" s="133"/>
      <c r="G5" s="133"/>
      <c r="H5" s="134"/>
    </row>
    <row r="6" spans="1:8" ht="15" customHeight="1">
      <c r="A6" s="131" t="s">
        <v>12</v>
      </c>
      <c r="B6" s="131" t="s">
        <v>13</v>
      </c>
      <c r="C6" s="131" t="s">
        <v>51</v>
      </c>
      <c r="D6" s="131"/>
      <c r="E6" s="131"/>
      <c r="F6" s="131" t="s">
        <v>14</v>
      </c>
      <c r="G6" s="131"/>
      <c r="H6" s="131"/>
    </row>
    <row r="7" spans="1:8" ht="41.25" customHeight="1">
      <c r="A7" s="131"/>
      <c r="B7" s="131"/>
      <c r="C7" s="7" t="s">
        <v>15</v>
      </c>
      <c r="D7" s="89" t="s">
        <v>122</v>
      </c>
      <c r="E7" s="7" t="s">
        <v>92</v>
      </c>
      <c r="F7" s="7" t="s">
        <v>15</v>
      </c>
      <c r="G7" s="47" t="s">
        <v>170</v>
      </c>
      <c r="H7" s="7" t="s">
        <v>92</v>
      </c>
    </row>
    <row r="8" spans="1:8" ht="15" customHeight="1">
      <c r="A8" s="7">
        <v>1</v>
      </c>
      <c r="B8" s="90" t="s">
        <v>171</v>
      </c>
      <c r="C8" s="80">
        <v>146</v>
      </c>
      <c r="D8" s="127">
        <v>11491</v>
      </c>
      <c r="E8" s="69">
        <f>ROUND(C8/D8*100,1)</f>
        <v>1.3</v>
      </c>
      <c r="F8" s="91">
        <v>43</v>
      </c>
      <c r="G8" s="127">
        <v>1442947</v>
      </c>
      <c r="H8" s="69">
        <f>ROUND(F8/G8*100,1)</f>
        <v>0</v>
      </c>
    </row>
    <row r="9" spans="1:8" ht="15" customHeight="1">
      <c r="A9" s="7">
        <v>2</v>
      </c>
      <c r="B9" s="90" t="s">
        <v>172</v>
      </c>
      <c r="C9" s="80">
        <v>141</v>
      </c>
      <c r="D9" s="128"/>
      <c r="E9" s="69">
        <f>ROUND(C9/D8*100,1)</f>
        <v>1.2</v>
      </c>
      <c r="F9" s="91">
        <v>51</v>
      </c>
      <c r="G9" s="128"/>
      <c r="H9" s="69">
        <f>ROUND(F9/G8*100,1)</f>
        <v>0</v>
      </c>
    </row>
    <row r="10" spans="1:8" ht="15" customHeight="1">
      <c r="A10" s="7">
        <v>3</v>
      </c>
      <c r="B10" s="90" t="s">
        <v>173</v>
      </c>
      <c r="C10" s="80">
        <v>78</v>
      </c>
      <c r="D10" s="128"/>
      <c r="E10" s="69">
        <f>ROUND(C10/D8*100,1)</f>
        <v>0.7</v>
      </c>
      <c r="F10" s="91">
        <v>51</v>
      </c>
      <c r="G10" s="128"/>
      <c r="H10" s="69">
        <f>ROUND(F10/G8*100,1)</f>
        <v>0</v>
      </c>
    </row>
    <row r="11" spans="1:8" ht="15" customHeight="1">
      <c r="A11" s="7">
        <v>4</v>
      </c>
      <c r="B11" s="90" t="s">
        <v>174</v>
      </c>
      <c r="C11" s="80">
        <v>66</v>
      </c>
      <c r="D11" s="128"/>
      <c r="E11" s="69">
        <f>ROUND(C11/D8*100,1)</f>
        <v>0.6</v>
      </c>
      <c r="F11" s="91">
        <v>59</v>
      </c>
      <c r="G11" s="128"/>
      <c r="H11" s="69">
        <f>ROUND(F11/G8*100,1)</f>
        <v>0</v>
      </c>
    </row>
    <row r="12" spans="1:8" ht="15" customHeight="1">
      <c r="A12" s="7">
        <v>5</v>
      </c>
      <c r="B12" s="90" t="s">
        <v>175</v>
      </c>
      <c r="C12" s="80">
        <v>36</v>
      </c>
      <c r="D12" s="128"/>
      <c r="E12" s="69">
        <f>ROUND(C12/D8*100,1)</f>
        <v>0.3</v>
      </c>
      <c r="F12" s="91">
        <v>37</v>
      </c>
      <c r="G12" s="128"/>
      <c r="H12" s="69">
        <f>ROUND(F12/G8*100,1)</f>
        <v>0</v>
      </c>
    </row>
    <row r="13" spans="1:8" ht="15" customHeight="1">
      <c r="A13" s="7">
        <v>6</v>
      </c>
      <c r="B13" s="90" t="s">
        <v>176</v>
      </c>
      <c r="C13" s="80">
        <v>70</v>
      </c>
      <c r="D13" s="128"/>
      <c r="E13" s="69">
        <f>ROUND(C13/D8*100,1)</f>
        <v>0.6</v>
      </c>
      <c r="F13" s="91">
        <v>19</v>
      </c>
      <c r="G13" s="128"/>
      <c r="H13" s="69">
        <f>ROUND(F13/G8*100,1)</f>
        <v>0</v>
      </c>
    </row>
    <row r="14" spans="1:8" ht="27" customHeight="1">
      <c r="A14" s="92" t="s">
        <v>80</v>
      </c>
      <c r="B14" s="90" t="s">
        <v>81</v>
      </c>
      <c r="C14" s="80">
        <v>59</v>
      </c>
      <c r="D14" s="129"/>
      <c r="E14" s="69">
        <f>ROUND(C14/D8*100,1)</f>
        <v>0.5</v>
      </c>
      <c r="F14" s="91">
        <v>38</v>
      </c>
      <c r="G14" s="129"/>
      <c r="H14" s="69">
        <f>ROUND(F14/G8*100,1)</f>
        <v>0</v>
      </c>
    </row>
  </sheetData>
  <mergeCells count="8">
    <mergeCell ref="G8:G14"/>
    <mergeCell ref="A2:C2"/>
    <mergeCell ref="A6:A7"/>
    <mergeCell ref="B6:B7"/>
    <mergeCell ref="F6:H6"/>
    <mergeCell ref="A5:H5"/>
    <mergeCell ref="C6:E6"/>
    <mergeCell ref="D8:D1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1" orientation="portrait" r:id="rId1"/>
  <headerFooter>
    <oddHeader>&amp;CSS24546BV02生物分析方法学验证数据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2:P19"/>
  <sheetViews>
    <sheetView zoomScaleNormal="100" zoomScaleSheetLayoutView="100" workbookViewId="0">
      <selection activeCell="E33" sqref="E33"/>
    </sheetView>
  </sheetViews>
  <sheetFormatPr defaultColWidth="8.875" defaultRowHeight="13.5"/>
  <cols>
    <col min="1" max="1" width="11.125" style="81" customWidth="1"/>
    <col min="2" max="2" width="9.625" style="81" customWidth="1"/>
    <col min="3" max="3" width="27.5" style="88" customWidth="1"/>
    <col min="4" max="4" width="21" style="81" customWidth="1"/>
    <col min="5" max="5" width="42.625" style="81" customWidth="1"/>
    <col min="6" max="6" width="22.125" style="82" customWidth="1"/>
    <col min="7" max="16384" width="8.875" style="81"/>
  </cols>
  <sheetData>
    <row r="2" spans="1:16">
      <c r="A2" s="136" t="s">
        <v>107</v>
      </c>
      <c r="B2" s="130"/>
      <c r="C2" s="130"/>
    </row>
    <row r="3" spans="1:16">
      <c r="A3" s="72"/>
      <c r="B3" s="72"/>
      <c r="C3" s="72"/>
    </row>
    <row r="4" spans="1:16">
      <c r="A4" s="83" t="s">
        <v>123</v>
      </c>
      <c r="C4" s="81"/>
      <c r="D4" s="9"/>
      <c r="E4" s="9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</row>
    <row r="5" spans="1:16" ht="15.75" customHeight="1">
      <c r="A5" s="131" t="s">
        <v>33</v>
      </c>
      <c r="B5" s="131" t="s">
        <v>27</v>
      </c>
      <c r="C5" s="131" t="s">
        <v>8</v>
      </c>
      <c r="D5" s="137" t="s">
        <v>184</v>
      </c>
      <c r="E5" s="137" t="s">
        <v>185</v>
      </c>
      <c r="F5" s="138" t="s">
        <v>186</v>
      </c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1:16" ht="15.75" customHeight="1">
      <c r="A6" s="131"/>
      <c r="B6" s="131"/>
      <c r="C6" s="131"/>
      <c r="D6" s="131"/>
      <c r="E6" s="131"/>
      <c r="F6" s="139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1:16" ht="15.75" customHeight="1">
      <c r="A7" s="135">
        <v>45771</v>
      </c>
      <c r="B7" s="131">
        <v>1</v>
      </c>
      <c r="C7" s="86" t="s">
        <v>131</v>
      </c>
      <c r="D7" s="80">
        <v>84</v>
      </c>
      <c r="E7" s="141">
        <v>1957944</v>
      </c>
      <c r="F7" s="142">
        <f>ROUND(AVERAGE(D7:D9)/E7*100,1)</f>
        <v>0</v>
      </c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1:16" ht="15.75" customHeight="1">
      <c r="A8" s="135"/>
      <c r="B8" s="131"/>
      <c r="C8" s="86" t="s">
        <v>132</v>
      </c>
      <c r="D8" s="80">
        <v>42</v>
      </c>
      <c r="E8" s="141"/>
      <c r="F8" s="143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1:16" ht="15.75" customHeight="1">
      <c r="A9" s="135"/>
      <c r="B9" s="131"/>
      <c r="C9" s="86" t="s">
        <v>133</v>
      </c>
      <c r="D9" s="80">
        <v>27</v>
      </c>
      <c r="E9" s="141"/>
      <c r="F9" s="144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1:16">
      <c r="B10" s="1"/>
      <c r="C10" s="2"/>
      <c r="D10" s="9"/>
      <c r="E10" s="87"/>
      <c r="F10" s="84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1:16">
      <c r="B11" s="1"/>
      <c r="C11" s="2"/>
      <c r="D11" s="9"/>
      <c r="E11" s="87"/>
      <c r="F11" s="84"/>
      <c r="G11" s="85"/>
      <c r="H11" s="85"/>
      <c r="I11" s="85"/>
      <c r="J11" s="85"/>
      <c r="K11" s="85"/>
      <c r="L11" s="85"/>
      <c r="M11" s="85"/>
      <c r="N11" s="85"/>
      <c r="O11" s="85"/>
      <c r="P11" s="85"/>
    </row>
    <row r="12" spans="1:16">
      <c r="A12" s="136" t="s">
        <v>124</v>
      </c>
      <c r="B12" s="130"/>
      <c r="C12" s="130"/>
      <c r="D12" s="9"/>
      <c r="F12" s="84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.75" customHeight="1">
      <c r="A13" s="131" t="s">
        <v>33</v>
      </c>
      <c r="B13" s="131" t="s">
        <v>27</v>
      </c>
      <c r="C13" s="131" t="s">
        <v>8</v>
      </c>
      <c r="D13" s="137" t="s">
        <v>125</v>
      </c>
      <c r="E13" s="131" t="s">
        <v>126</v>
      </c>
      <c r="F13" s="138" t="s">
        <v>127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1:16" ht="15.75" customHeight="1">
      <c r="A14" s="131"/>
      <c r="B14" s="131"/>
      <c r="C14" s="131"/>
      <c r="D14" s="131"/>
      <c r="E14" s="131"/>
      <c r="F14" s="139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1:16" ht="15.75" customHeight="1">
      <c r="A15" s="135">
        <v>45771</v>
      </c>
      <c r="B15" s="131">
        <v>1</v>
      </c>
      <c r="C15" s="86" t="s">
        <v>134</v>
      </c>
      <c r="D15" s="80">
        <v>456</v>
      </c>
      <c r="E15" s="140">
        <v>15191</v>
      </c>
      <c r="F15" s="142">
        <f>ROUND(AVERAGE(D15:D17)/E15*100,1)</f>
        <v>3.1</v>
      </c>
      <c r="G15" s="85"/>
      <c r="H15" s="85"/>
      <c r="I15" s="85"/>
      <c r="J15" s="85"/>
      <c r="K15" s="85"/>
      <c r="L15" s="85"/>
      <c r="M15" s="85"/>
      <c r="N15" s="85"/>
      <c r="O15" s="85"/>
      <c r="P15" s="85"/>
    </row>
    <row r="16" spans="1:16" ht="15.75" customHeight="1">
      <c r="A16" s="135"/>
      <c r="B16" s="131"/>
      <c r="C16" s="86" t="s">
        <v>135</v>
      </c>
      <c r="D16" s="80">
        <v>483</v>
      </c>
      <c r="E16" s="140"/>
      <c r="F16" s="143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1:16" ht="15.75" customHeight="1">
      <c r="A17" s="135"/>
      <c r="B17" s="131"/>
      <c r="C17" s="86" t="s">
        <v>136</v>
      </c>
      <c r="D17" s="80">
        <v>479</v>
      </c>
      <c r="E17" s="140"/>
      <c r="F17" s="144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1:16">
      <c r="H18" s="85"/>
      <c r="I18" s="85"/>
    </row>
    <row r="19" spans="1:16">
      <c r="H19" s="85"/>
      <c r="I19" s="85"/>
    </row>
  </sheetData>
  <mergeCells count="22">
    <mergeCell ref="D5:D6"/>
    <mergeCell ref="E5:E6"/>
    <mergeCell ref="F5:F6"/>
    <mergeCell ref="B7:B9"/>
    <mergeCell ref="E15:E17"/>
    <mergeCell ref="E7:E9"/>
    <mergeCell ref="D13:D14"/>
    <mergeCell ref="E13:E14"/>
    <mergeCell ref="F13:F14"/>
    <mergeCell ref="B15:B17"/>
    <mergeCell ref="F7:F9"/>
    <mergeCell ref="F15:F17"/>
    <mergeCell ref="A13:A14"/>
    <mergeCell ref="A15:A17"/>
    <mergeCell ref="B13:B14"/>
    <mergeCell ref="C13:C14"/>
    <mergeCell ref="A2:C2"/>
    <mergeCell ref="A12:C12"/>
    <mergeCell ref="A5:A6"/>
    <mergeCell ref="A7:A9"/>
    <mergeCell ref="B5:B6"/>
    <mergeCell ref="C5:C6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2:I61"/>
  <sheetViews>
    <sheetView zoomScaleNormal="100" zoomScaleSheetLayoutView="100" workbookViewId="0">
      <selection activeCell="D4" sqref="D4:E4"/>
    </sheetView>
  </sheetViews>
  <sheetFormatPr defaultColWidth="9" defaultRowHeight="15.75" customHeight="1"/>
  <cols>
    <col min="1" max="1" width="34.875" style="45" bestFit="1" customWidth="1"/>
    <col min="2" max="5" width="16.625" style="45" customWidth="1"/>
    <col min="6" max="206" width="13.5" style="45" customWidth="1"/>
    <col min="207" max="16384" width="9" style="45"/>
  </cols>
  <sheetData>
    <row r="2" spans="1:9" ht="15.75" customHeight="1">
      <c r="A2" s="73" t="s">
        <v>78</v>
      </c>
    </row>
    <row r="3" spans="1:9" ht="15.75" customHeight="1">
      <c r="A3" s="43" t="s">
        <v>128</v>
      </c>
    </row>
    <row r="4" spans="1:9" ht="15.75" customHeight="1">
      <c r="A4" s="149" t="s">
        <v>137</v>
      </c>
      <c r="B4" s="133"/>
      <c r="C4" s="134"/>
      <c r="D4" s="149" t="s">
        <v>183</v>
      </c>
      <c r="E4" s="134"/>
    </row>
    <row r="5" spans="1:9" ht="15.75" customHeight="1">
      <c r="A5" s="131" t="s">
        <v>74</v>
      </c>
      <c r="B5" s="7" t="s">
        <v>7</v>
      </c>
      <c r="C5" s="150" t="s">
        <v>75</v>
      </c>
      <c r="D5" s="8" t="s">
        <v>1</v>
      </c>
      <c r="E5" s="150" t="s">
        <v>75</v>
      </c>
    </row>
    <row r="6" spans="1:9" ht="15.75" customHeight="1">
      <c r="A6" s="131"/>
      <c r="B6" s="10">
        <v>150</v>
      </c>
      <c r="C6" s="151"/>
      <c r="D6" s="10">
        <v>18750</v>
      </c>
      <c r="E6" s="151"/>
    </row>
    <row r="7" spans="1:9" ht="15.75" customHeight="1">
      <c r="A7" s="131"/>
      <c r="B7" s="11" t="s">
        <v>79</v>
      </c>
      <c r="C7" s="152"/>
      <c r="D7" s="11" t="s">
        <v>79</v>
      </c>
      <c r="E7" s="152"/>
    </row>
    <row r="8" spans="1:9" ht="15.75" customHeight="1">
      <c r="A8" s="135" t="s">
        <v>177</v>
      </c>
      <c r="B8" s="15">
        <v>155.92099999999999</v>
      </c>
      <c r="C8" s="14">
        <f>ROUND((B8-B6)/B6*100,1)</f>
        <v>3.9</v>
      </c>
      <c r="D8" s="15">
        <v>19745.719000000001</v>
      </c>
      <c r="E8" s="14">
        <f>ROUND((D8-D6)/D6*100,1)</f>
        <v>5.3</v>
      </c>
      <c r="F8"/>
    </row>
    <row r="9" spans="1:9" ht="15.75" customHeight="1">
      <c r="A9" s="135"/>
      <c r="B9" s="15">
        <v>164.202</v>
      </c>
      <c r="C9" s="14">
        <f>ROUND((B9-B6)/B6*100,1)</f>
        <v>9.5</v>
      </c>
      <c r="D9" s="15">
        <v>18799.614000000001</v>
      </c>
      <c r="E9" s="14">
        <f>ROUND((D9-D6)/D6*100,1)</f>
        <v>0.3</v>
      </c>
      <c r="F9"/>
    </row>
    <row r="10" spans="1:9" ht="15.75" customHeight="1">
      <c r="A10" s="135"/>
      <c r="B10" s="15">
        <v>159.09399999999999</v>
      </c>
      <c r="C10" s="14">
        <f>ROUND((B10-B6)/B6*100,1)</f>
        <v>6.1</v>
      </c>
      <c r="D10" s="15">
        <v>20318.782999999999</v>
      </c>
      <c r="E10" s="14">
        <f>ROUND((D10-D6)/D6*100,1)</f>
        <v>8.4</v>
      </c>
      <c r="F10"/>
      <c r="G10" s="74"/>
      <c r="H10" s="75" t="s">
        <v>82</v>
      </c>
      <c r="I10" s="76" t="s">
        <v>83</v>
      </c>
    </row>
    <row r="11" spans="1:9" ht="15.75" customHeight="1">
      <c r="A11" s="7" t="s">
        <v>16</v>
      </c>
      <c r="B11" s="15">
        <f>ROUND(AVERAGE(B8:B10),3)</f>
        <v>159.739</v>
      </c>
      <c r="C11" s="145"/>
      <c r="D11" s="15">
        <f>ROUND(AVERAGE(D8:D10),3)</f>
        <v>19621.371999999999</v>
      </c>
      <c r="E11" s="145"/>
      <c r="F11"/>
      <c r="G11" s="7" t="s">
        <v>76</v>
      </c>
      <c r="H11" s="77"/>
      <c r="I11" s="78">
        <f>MAX(B13,D13,B22,D22,B31,D31,B40,D40,B49,D49,B58,D58)</f>
        <v>4</v>
      </c>
    </row>
    <row r="12" spans="1:9" ht="15.75" customHeight="1">
      <c r="A12" s="7" t="s">
        <v>4</v>
      </c>
      <c r="B12" s="15">
        <f>ROUND(STDEV(B8:B10),3)</f>
        <v>4.1779999999999999</v>
      </c>
      <c r="C12" s="146"/>
      <c r="D12" s="15">
        <f>ROUND(STDEV(D8:D10),3)</f>
        <v>767.18</v>
      </c>
      <c r="E12" s="146"/>
      <c r="F12"/>
      <c r="G12" s="7" t="s">
        <v>75</v>
      </c>
      <c r="H12" s="79">
        <f>MIN(B15,D15,B24,D24,B33,D33,B42,D42,B51,D51,B60,D60)</f>
        <v>-1.2</v>
      </c>
      <c r="I12" s="79">
        <f>MAX(B15,D15,B24,D24,B33,D33,B42,D42,B51,D51,B60,D60)</f>
        <v>9.1999999999999993</v>
      </c>
    </row>
    <row r="13" spans="1:9" ht="15.75" customHeight="1">
      <c r="A13" s="7" t="s">
        <v>76</v>
      </c>
      <c r="B13" s="14">
        <f>ROUND(B12/B11*100,1)</f>
        <v>2.6</v>
      </c>
      <c r="C13" s="146"/>
      <c r="D13" s="14">
        <f>ROUND(D12/D11*100,1)</f>
        <v>3.9</v>
      </c>
      <c r="E13" s="146"/>
      <c r="F13"/>
    </row>
    <row r="14" spans="1:9" ht="15.75" customHeight="1">
      <c r="A14" s="7" t="s">
        <v>77</v>
      </c>
      <c r="B14" s="14">
        <f>ROUND(B11/B6*100,1)</f>
        <v>106.5</v>
      </c>
      <c r="C14" s="146"/>
      <c r="D14" s="14">
        <f>ROUND(D11/D6*100,1)</f>
        <v>104.6</v>
      </c>
      <c r="E14" s="146"/>
      <c r="F14"/>
    </row>
    <row r="15" spans="1:9" ht="15.75" customHeight="1">
      <c r="A15" s="7" t="s">
        <v>75</v>
      </c>
      <c r="B15" s="14">
        <f>ROUND((B11-B6)/B6*100,1)</f>
        <v>6.5</v>
      </c>
      <c r="C15" s="146"/>
      <c r="D15" s="14">
        <f>ROUND((D11-D6)/D6*100,1)</f>
        <v>4.5999999999999996</v>
      </c>
      <c r="E15" s="146"/>
    </row>
    <row r="16" spans="1:9" ht="15.75" customHeight="1">
      <c r="A16" s="7" t="s">
        <v>5</v>
      </c>
      <c r="B16" s="18">
        <v>3</v>
      </c>
      <c r="C16" s="147"/>
      <c r="D16" s="18">
        <v>3</v>
      </c>
      <c r="E16" s="147"/>
    </row>
    <row r="17" spans="1:7" ht="15.75" customHeight="1">
      <c r="A17" s="135" t="s">
        <v>178</v>
      </c>
      <c r="B17" s="15">
        <v>150.971</v>
      </c>
      <c r="C17" s="14">
        <f>ROUND((B17-B6)/B6*100,1)</f>
        <v>0.6</v>
      </c>
      <c r="D17" s="15">
        <v>20077.767</v>
      </c>
      <c r="E17" s="14">
        <f>ROUND((D17-D6)/D6*100,1)</f>
        <v>7.1</v>
      </c>
    </row>
    <row r="18" spans="1:7" ht="15.75" customHeight="1">
      <c r="A18" s="135"/>
      <c r="B18" s="15">
        <v>156.59200000000001</v>
      </c>
      <c r="C18" s="14">
        <f>ROUND((B18-B6)/B6*100,1)</f>
        <v>4.4000000000000004</v>
      </c>
      <c r="D18" s="15">
        <v>19812.677</v>
      </c>
      <c r="E18" s="14">
        <f>ROUND((D18-D6)/D6*100,1)</f>
        <v>5.7</v>
      </c>
    </row>
    <row r="19" spans="1:7" ht="13.5">
      <c r="A19" s="135"/>
      <c r="B19" s="15">
        <v>144.55799999999999</v>
      </c>
      <c r="C19" s="14">
        <f>ROUND((B19-B6)/B6*100,1)</f>
        <v>-3.6</v>
      </c>
      <c r="D19" s="15">
        <v>20377.757000000001</v>
      </c>
      <c r="E19" s="14">
        <f>ROUND((D19-D6)/D6*100,1)</f>
        <v>8.6999999999999993</v>
      </c>
    </row>
    <row r="20" spans="1:7" ht="15.75" customHeight="1">
      <c r="A20" s="7" t="s">
        <v>16</v>
      </c>
      <c r="B20" s="15">
        <f>ROUND(AVERAGE(B17:B19),3)</f>
        <v>150.70699999999999</v>
      </c>
      <c r="C20" s="145"/>
      <c r="D20" s="15">
        <f>ROUND(AVERAGE(D17:D19),3)</f>
        <v>20089.400000000001</v>
      </c>
      <c r="E20" s="145"/>
      <c r="G20"/>
    </row>
    <row r="21" spans="1:7" ht="15.75" customHeight="1">
      <c r="A21" s="7" t="s">
        <v>4</v>
      </c>
      <c r="B21" s="15">
        <f>ROUND(STDEV(B17:B19),3)</f>
        <v>6.0209999999999999</v>
      </c>
      <c r="C21" s="146"/>
      <c r="D21" s="15">
        <f>ROUND(STDEV(D17:D19),3)</f>
        <v>282.72000000000003</v>
      </c>
      <c r="E21" s="146"/>
      <c r="G21"/>
    </row>
    <row r="22" spans="1:7" ht="15.75" customHeight="1">
      <c r="A22" s="7" t="s">
        <v>76</v>
      </c>
      <c r="B22" s="14">
        <f>ROUND(B21/B20*100,1)</f>
        <v>4</v>
      </c>
      <c r="C22" s="146"/>
      <c r="D22" s="14">
        <f>ROUND(D21/D20*100,1)</f>
        <v>1.4</v>
      </c>
      <c r="E22" s="146"/>
      <c r="G22"/>
    </row>
    <row r="23" spans="1:7" ht="15.75" customHeight="1">
      <c r="A23" s="7" t="s">
        <v>77</v>
      </c>
      <c r="B23" s="14">
        <f>ROUND(B20/B6*100,1)</f>
        <v>100.5</v>
      </c>
      <c r="C23" s="146"/>
      <c r="D23" s="14">
        <f>ROUND(D20/D6*100,1)</f>
        <v>107.1</v>
      </c>
      <c r="E23" s="146"/>
      <c r="G23"/>
    </row>
    <row r="24" spans="1:7" ht="15.75" customHeight="1">
      <c r="A24" s="7" t="s">
        <v>75</v>
      </c>
      <c r="B24" s="14">
        <f>ROUND((B20-B6)/B6*100,1)</f>
        <v>0.5</v>
      </c>
      <c r="C24" s="146"/>
      <c r="D24" s="14">
        <f>ROUND((D20-D6)/D6*100,1)</f>
        <v>7.1</v>
      </c>
      <c r="E24" s="146"/>
    </row>
    <row r="25" spans="1:7" ht="15.75" customHeight="1">
      <c r="A25" s="7" t="s">
        <v>5</v>
      </c>
      <c r="B25" s="18">
        <v>3</v>
      </c>
      <c r="C25" s="147"/>
      <c r="D25" s="18">
        <v>3</v>
      </c>
      <c r="E25" s="147"/>
    </row>
    <row r="26" spans="1:7" ht="15.75" customHeight="1">
      <c r="A26" s="140" t="s">
        <v>179</v>
      </c>
      <c r="B26" s="15">
        <v>148.577</v>
      </c>
      <c r="C26" s="14">
        <f>ROUND((B26-B6)/B6*100,1)</f>
        <v>-0.9</v>
      </c>
      <c r="D26" s="15">
        <v>20365.710999999999</v>
      </c>
      <c r="E26" s="14">
        <f>ROUND((D26-D6)/D6*100,1)</f>
        <v>8.6</v>
      </c>
    </row>
    <row r="27" spans="1:7" ht="15.75" customHeight="1">
      <c r="A27" s="140"/>
      <c r="B27" s="15">
        <v>148.28700000000001</v>
      </c>
      <c r="C27" s="14">
        <f>ROUND((B27-B6)/B6*100,1)</f>
        <v>-1.1000000000000001</v>
      </c>
      <c r="D27" s="15">
        <v>19938.228999999999</v>
      </c>
      <c r="E27" s="14">
        <f>ROUND((D27-D6)/D6*100,1)</f>
        <v>6.3</v>
      </c>
    </row>
    <row r="28" spans="1:7" ht="15.75" customHeight="1">
      <c r="A28" s="140"/>
      <c r="B28" s="15">
        <v>147.834</v>
      </c>
      <c r="C28" s="14">
        <f>ROUND((B28-B6)/B6*100,1)</f>
        <v>-1.4</v>
      </c>
      <c r="D28" s="15">
        <v>21114.022000000001</v>
      </c>
      <c r="E28" s="14">
        <f>ROUND((D28-D6)/D6*100,1)</f>
        <v>12.6</v>
      </c>
      <c r="F28"/>
    </row>
    <row r="29" spans="1:7" ht="15.75" customHeight="1">
      <c r="A29" s="7" t="s">
        <v>16</v>
      </c>
      <c r="B29" s="15">
        <f>ROUND(AVERAGE(B26:B28),3)</f>
        <v>148.233</v>
      </c>
      <c r="C29" s="145"/>
      <c r="D29" s="15">
        <f>ROUND(AVERAGE(D26:D28),3)</f>
        <v>20472.653999999999</v>
      </c>
      <c r="E29" s="145"/>
      <c r="F29"/>
    </row>
    <row r="30" spans="1:7" ht="15.75" customHeight="1">
      <c r="A30" s="7" t="s">
        <v>4</v>
      </c>
      <c r="B30" s="15">
        <f>ROUND(STDEV(B26:B28),3)</f>
        <v>0.374</v>
      </c>
      <c r="C30" s="146"/>
      <c r="D30" s="15">
        <f>ROUND(STDEV(D26:D28),3)</f>
        <v>595.14700000000005</v>
      </c>
      <c r="E30" s="146"/>
      <c r="F30"/>
    </row>
    <row r="31" spans="1:7" ht="15.75" customHeight="1">
      <c r="A31" s="7" t="s">
        <v>76</v>
      </c>
      <c r="B31" s="14">
        <f>ROUND(B30/B29*100,1)</f>
        <v>0.3</v>
      </c>
      <c r="C31" s="146"/>
      <c r="D31" s="14">
        <f>ROUND(D30/D29*100,1)</f>
        <v>2.9</v>
      </c>
      <c r="E31" s="146"/>
      <c r="F31"/>
    </row>
    <row r="32" spans="1:7" ht="15.75" customHeight="1">
      <c r="A32" s="7" t="s">
        <v>77</v>
      </c>
      <c r="B32" s="14">
        <f>ROUND(B29/B6*100,1)</f>
        <v>98.8</v>
      </c>
      <c r="C32" s="146"/>
      <c r="D32" s="14">
        <f>ROUND(D29/D6*100,1)</f>
        <v>109.2</v>
      </c>
      <c r="E32" s="146"/>
      <c r="F32"/>
    </row>
    <row r="33" spans="1:6" ht="15.75" customHeight="1">
      <c r="A33" s="7" t="s">
        <v>75</v>
      </c>
      <c r="B33" s="14">
        <f>ROUND((B29-B6)/B6*100,1)</f>
        <v>-1.2</v>
      </c>
      <c r="C33" s="146"/>
      <c r="D33" s="14">
        <f>ROUND((D29-D6)/D6*100,1)</f>
        <v>9.1999999999999993</v>
      </c>
      <c r="E33" s="146"/>
      <c r="F33"/>
    </row>
    <row r="34" spans="1:6" ht="15.75" customHeight="1">
      <c r="A34" s="7" t="s">
        <v>5</v>
      </c>
      <c r="B34" s="18">
        <v>3</v>
      </c>
      <c r="C34" s="147"/>
      <c r="D34" s="18">
        <v>3</v>
      </c>
      <c r="E34" s="147"/>
      <c r="F34"/>
    </row>
    <row r="35" spans="1:6" ht="15.75" customHeight="1">
      <c r="A35" s="140" t="s">
        <v>180</v>
      </c>
      <c r="B35" s="15">
        <v>150.77099999999999</v>
      </c>
      <c r="C35" s="14">
        <f>ROUND((B35-B6)/B6*100,1)</f>
        <v>0.5</v>
      </c>
      <c r="D35" s="15">
        <v>19645.582999999999</v>
      </c>
      <c r="E35" s="14">
        <f>ROUND((D35-D6)/D6*100,1)</f>
        <v>4.8</v>
      </c>
      <c r="F35"/>
    </row>
    <row r="36" spans="1:6" ht="15.75" customHeight="1">
      <c r="A36" s="140"/>
      <c r="B36" s="15">
        <v>152.58500000000001</v>
      </c>
      <c r="C36" s="14">
        <f>ROUND((B36-B6)/B6*100,1)</f>
        <v>1.7</v>
      </c>
      <c r="D36" s="15">
        <v>19556.46</v>
      </c>
      <c r="E36" s="14">
        <f>ROUND((D36-D6)/D6*100,1)</f>
        <v>4.3</v>
      </c>
      <c r="F36"/>
    </row>
    <row r="37" spans="1:6" ht="15.75" customHeight="1">
      <c r="A37" s="140"/>
      <c r="B37" s="15">
        <v>144.20699999999999</v>
      </c>
      <c r="C37" s="14">
        <f>ROUND((B37-B6)/B6*100,1)</f>
        <v>-3.9</v>
      </c>
      <c r="D37" s="15">
        <v>19164.701000000001</v>
      </c>
      <c r="E37" s="14">
        <f>ROUND((D37-D6)/D6*100,1)</f>
        <v>2.2000000000000002</v>
      </c>
      <c r="F37"/>
    </row>
    <row r="38" spans="1:6" ht="15.75" customHeight="1">
      <c r="A38" s="7" t="s">
        <v>16</v>
      </c>
      <c r="B38" s="15">
        <f>ROUND(AVERAGE(B35:B37),3)</f>
        <v>149.18799999999999</v>
      </c>
      <c r="C38" s="145"/>
      <c r="D38" s="15">
        <f>ROUND(AVERAGE(D35:D37),3)</f>
        <v>19455.580999999998</v>
      </c>
      <c r="E38" s="145"/>
      <c r="F38"/>
    </row>
    <row r="39" spans="1:6" ht="15.75" customHeight="1">
      <c r="A39" s="7" t="s">
        <v>4</v>
      </c>
      <c r="B39" s="15">
        <f>ROUND(STDEV(B35:B37),3)</f>
        <v>4.4080000000000004</v>
      </c>
      <c r="C39" s="146"/>
      <c r="D39" s="15">
        <f>ROUND(STDEV(D35:D37),3)</f>
        <v>255.821</v>
      </c>
      <c r="E39" s="146"/>
      <c r="F39"/>
    </row>
    <row r="40" spans="1:6" ht="15.75" customHeight="1">
      <c r="A40" s="7" t="s">
        <v>76</v>
      </c>
      <c r="B40" s="14">
        <f>ROUND(B39/B38*100,1)</f>
        <v>3</v>
      </c>
      <c r="C40" s="146"/>
      <c r="D40" s="14">
        <f>ROUND(D39/D38*100,1)</f>
        <v>1.3</v>
      </c>
      <c r="E40" s="146"/>
      <c r="F40"/>
    </row>
    <row r="41" spans="1:6" ht="15.75" customHeight="1">
      <c r="A41" s="7" t="s">
        <v>77</v>
      </c>
      <c r="B41" s="14">
        <f>ROUND(B38/B6*100,1)</f>
        <v>99.5</v>
      </c>
      <c r="C41" s="146"/>
      <c r="D41" s="14">
        <f>ROUND(D38/D6*100,1)</f>
        <v>103.8</v>
      </c>
      <c r="E41" s="146"/>
      <c r="F41"/>
    </row>
    <row r="42" spans="1:6" ht="15.75" customHeight="1">
      <c r="A42" s="7" t="s">
        <v>75</v>
      </c>
      <c r="B42" s="14">
        <f>ROUND((B38-B6)/B6*100,1)</f>
        <v>-0.5</v>
      </c>
      <c r="C42" s="146"/>
      <c r="D42" s="14">
        <f>ROUND((D38-D6)/D6*100,1)</f>
        <v>3.8</v>
      </c>
      <c r="E42" s="146"/>
      <c r="F42"/>
    </row>
    <row r="43" spans="1:6" ht="15.75" customHeight="1">
      <c r="A43" s="7" t="s">
        <v>5</v>
      </c>
      <c r="B43" s="18">
        <v>3</v>
      </c>
      <c r="C43" s="147"/>
      <c r="D43" s="18">
        <v>3</v>
      </c>
      <c r="E43" s="147"/>
      <c r="F43"/>
    </row>
    <row r="44" spans="1:6" ht="15.75" customHeight="1">
      <c r="A44" s="148" t="s">
        <v>181</v>
      </c>
      <c r="B44" s="15">
        <v>153.28</v>
      </c>
      <c r="C44" s="14">
        <f>ROUND((B44-B6)/B6*100,1)</f>
        <v>2.2000000000000002</v>
      </c>
      <c r="D44" s="15">
        <v>20752.870999999999</v>
      </c>
      <c r="E44" s="14">
        <f>ROUND((D44-D6)/D6*100,1)</f>
        <v>10.7</v>
      </c>
    </row>
    <row r="45" spans="1:6" ht="15.75" customHeight="1">
      <c r="A45" s="148"/>
      <c r="B45" s="15">
        <v>143.82</v>
      </c>
      <c r="C45" s="14">
        <f>ROUND((B45-B6)/B6*100,1)</f>
        <v>-4.0999999999999996</v>
      </c>
      <c r="D45" s="15">
        <v>20555.294999999998</v>
      </c>
      <c r="E45" s="14">
        <f>ROUND((D45-D6)/D6*100,1)</f>
        <v>9.6</v>
      </c>
    </row>
    <row r="46" spans="1:6" ht="15.75" customHeight="1">
      <c r="A46" s="148"/>
      <c r="B46" s="15">
        <v>149.54400000000001</v>
      </c>
      <c r="C46" s="14">
        <f>ROUND((B46-B6)/B6*100,1)</f>
        <v>-0.3</v>
      </c>
      <c r="D46" s="15">
        <v>19936.941999999999</v>
      </c>
      <c r="E46" s="14">
        <f>ROUND((D46-D6)/D6*100,1)</f>
        <v>6.3</v>
      </c>
    </row>
    <row r="47" spans="1:6" ht="15.75" customHeight="1">
      <c r="A47" s="7" t="s">
        <v>16</v>
      </c>
      <c r="B47" s="15">
        <f>ROUND(AVERAGE(B44:B46),3)</f>
        <v>148.881</v>
      </c>
      <c r="C47" s="145"/>
      <c r="D47" s="15">
        <f>ROUND(AVERAGE(D44:D46),3)</f>
        <v>20415.036</v>
      </c>
      <c r="E47" s="145"/>
    </row>
    <row r="48" spans="1:6" ht="15.75" customHeight="1">
      <c r="A48" s="7" t="s">
        <v>4</v>
      </c>
      <c r="B48" s="15">
        <f>ROUND(STDEV(B44:B46),3)</f>
        <v>4.7649999999999997</v>
      </c>
      <c r="C48" s="146"/>
      <c r="D48" s="15">
        <f>ROUND(STDEV(D44:D46),3)</f>
        <v>425.66399999999999</v>
      </c>
      <c r="E48" s="146"/>
    </row>
    <row r="49" spans="1:5" ht="15.75" customHeight="1">
      <c r="A49" s="7" t="s">
        <v>76</v>
      </c>
      <c r="B49" s="14">
        <f>ROUND(B48/B47*100,1)</f>
        <v>3.2</v>
      </c>
      <c r="C49" s="146"/>
      <c r="D49" s="14">
        <f>ROUND(D48/D47*100,1)</f>
        <v>2.1</v>
      </c>
      <c r="E49" s="146"/>
    </row>
    <row r="50" spans="1:5" ht="15.75" customHeight="1">
      <c r="A50" s="7" t="s">
        <v>77</v>
      </c>
      <c r="B50" s="14">
        <f>ROUND(B47/B6*100,1)</f>
        <v>99.3</v>
      </c>
      <c r="C50" s="146"/>
      <c r="D50" s="14">
        <f>ROUND(D47/D6*100,1)</f>
        <v>108.9</v>
      </c>
      <c r="E50" s="146"/>
    </row>
    <row r="51" spans="1:5" ht="15.75" customHeight="1">
      <c r="A51" s="7" t="s">
        <v>75</v>
      </c>
      <c r="B51" s="14">
        <f>ROUND((B47-B6)/B6*100,1)</f>
        <v>-0.7</v>
      </c>
      <c r="C51" s="146"/>
      <c r="D51" s="14">
        <f>ROUND((D47-D6)/D6*100,1)</f>
        <v>8.9</v>
      </c>
      <c r="E51" s="146"/>
    </row>
    <row r="52" spans="1:5" ht="15.75" customHeight="1">
      <c r="A52" s="7" t="s">
        <v>5</v>
      </c>
      <c r="B52" s="18">
        <v>3</v>
      </c>
      <c r="C52" s="147"/>
      <c r="D52" s="18">
        <v>3</v>
      </c>
      <c r="E52" s="147"/>
    </row>
    <row r="53" spans="1:5" ht="15.75" customHeight="1">
      <c r="A53" s="148" t="s">
        <v>182</v>
      </c>
      <c r="B53" s="15">
        <v>147.846</v>
      </c>
      <c r="C53" s="14">
        <f>ROUND((B53-B6)/B6*100,1)</f>
        <v>-1.4</v>
      </c>
      <c r="D53" s="15">
        <v>20087.745999999999</v>
      </c>
      <c r="E53" s="14">
        <f>ROUND((D53-D6)/D6*100,1)</f>
        <v>7.1</v>
      </c>
    </row>
    <row r="54" spans="1:5" ht="15.75" customHeight="1">
      <c r="A54" s="148"/>
      <c r="B54" s="15">
        <v>154.61500000000001</v>
      </c>
      <c r="C54" s="14">
        <f>ROUND((B54-B6)/B6*100,1)</f>
        <v>3.1</v>
      </c>
      <c r="D54" s="15">
        <v>19949.174999999999</v>
      </c>
      <c r="E54" s="14">
        <f>ROUND((D54-D6)/D6*100,1)</f>
        <v>6.4</v>
      </c>
    </row>
    <row r="55" spans="1:5" ht="15.75" customHeight="1">
      <c r="A55" s="148"/>
      <c r="B55" s="15">
        <v>146.80000000000001</v>
      </c>
      <c r="C55" s="14">
        <f>ROUND((B55-B6)/B6*100,1)</f>
        <v>-2.1</v>
      </c>
      <c r="D55" s="15">
        <v>19552.695</v>
      </c>
      <c r="E55" s="14">
        <f>ROUND((D55-D6)/D6*100,1)</f>
        <v>4.3</v>
      </c>
    </row>
    <row r="56" spans="1:5" ht="15.75" customHeight="1">
      <c r="A56" s="7" t="s">
        <v>16</v>
      </c>
      <c r="B56" s="15">
        <f>ROUND(AVERAGE(B53:B55),3)</f>
        <v>149.75399999999999</v>
      </c>
      <c r="C56" s="145"/>
      <c r="D56" s="15">
        <f>ROUND(AVERAGE(D53:D55),3)</f>
        <v>19863.205000000002</v>
      </c>
      <c r="E56" s="145"/>
    </row>
    <row r="57" spans="1:5" ht="15.75" customHeight="1">
      <c r="A57" s="7" t="s">
        <v>4</v>
      </c>
      <c r="B57" s="15">
        <f>ROUND(STDEV(B53:B55),3)</f>
        <v>4.242</v>
      </c>
      <c r="C57" s="146"/>
      <c r="D57" s="15">
        <f>ROUND(STDEV(D53:D55),3)</f>
        <v>277.69200000000001</v>
      </c>
      <c r="E57" s="146"/>
    </row>
    <row r="58" spans="1:5" ht="15.75" customHeight="1">
      <c r="A58" s="7" t="s">
        <v>76</v>
      </c>
      <c r="B58" s="14">
        <f>ROUND(B57/B56*100,1)</f>
        <v>2.8</v>
      </c>
      <c r="C58" s="146"/>
      <c r="D58" s="14">
        <f>ROUND(D57/D56*100,1)</f>
        <v>1.4</v>
      </c>
      <c r="E58" s="146"/>
    </row>
    <row r="59" spans="1:5" ht="15.75" customHeight="1">
      <c r="A59" s="7" t="s">
        <v>77</v>
      </c>
      <c r="B59" s="14">
        <f>ROUND(B56/B6*100,1)</f>
        <v>99.8</v>
      </c>
      <c r="C59" s="146"/>
      <c r="D59" s="14">
        <f>ROUND(D56/D6*100,1)</f>
        <v>105.9</v>
      </c>
      <c r="E59" s="146"/>
    </row>
    <row r="60" spans="1:5" ht="15.75" customHeight="1">
      <c r="A60" s="7" t="s">
        <v>75</v>
      </c>
      <c r="B60" s="14">
        <f>ROUND((B56-B6)/B6*100,1)</f>
        <v>-0.2</v>
      </c>
      <c r="C60" s="146"/>
      <c r="D60" s="14">
        <f>ROUND((D56-D6)/D6*100,1)</f>
        <v>5.9</v>
      </c>
      <c r="E60" s="146"/>
    </row>
    <row r="61" spans="1:5" ht="15.75" customHeight="1">
      <c r="A61" s="7" t="s">
        <v>5</v>
      </c>
      <c r="B61" s="18">
        <v>3</v>
      </c>
      <c r="C61" s="147"/>
      <c r="D61" s="18">
        <v>3</v>
      </c>
      <c r="E61" s="147"/>
    </row>
  </sheetData>
  <autoFilter ref="A7:HL61" xr:uid="{00000000-0001-0000-0B00-000000000000}"/>
  <mergeCells count="23">
    <mergeCell ref="A8:A10"/>
    <mergeCell ref="A4:C4"/>
    <mergeCell ref="D4:E4"/>
    <mergeCell ref="A5:A7"/>
    <mergeCell ref="C5:C7"/>
    <mergeCell ref="E5:E7"/>
    <mergeCell ref="A44:A46"/>
    <mergeCell ref="C11:C16"/>
    <mergeCell ref="E11:E16"/>
    <mergeCell ref="A17:A19"/>
    <mergeCell ref="C20:C25"/>
    <mergeCell ref="E20:E25"/>
    <mergeCell ref="A26:A28"/>
    <mergeCell ref="C29:C34"/>
    <mergeCell ref="E29:E34"/>
    <mergeCell ref="A35:A37"/>
    <mergeCell ref="C38:C43"/>
    <mergeCell ref="E38:E43"/>
    <mergeCell ref="C47:C52"/>
    <mergeCell ref="E47:E52"/>
    <mergeCell ref="A53:A55"/>
    <mergeCell ref="C56:C61"/>
    <mergeCell ref="E56:E61"/>
  </mergeCells>
  <phoneticPr fontId="17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landscape" r:id="rId1"/>
  <headerFooter>
    <oddHeader>&amp;CSS24546BV02生物分析方法学验证数据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2:P109"/>
  <sheetViews>
    <sheetView topLeftCell="A76" zoomScaleNormal="100" zoomScaleSheetLayoutView="85" workbookViewId="0">
      <selection activeCell="H110" sqref="H110"/>
    </sheetView>
  </sheetViews>
  <sheetFormatPr defaultColWidth="8.875" defaultRowHeight="13.5"/>
  <cols>
    <col min="1" max="1" width="22.375" style="34" customWidth="1"/>
    <col min="2" max="2" width="9.875" style="9" customWidth="1"/>
    <col min="3" max="10" width="10.875" style="34" customWidth="1"/>
    <col min="11" max="11" width="12.375" style="34" customWidth="1"/>
    <col min="12" max="12" width="12" style="34" customWidth="1"/>
    <col min="13" max="16384" width="8.875" style="34"/>
  </cols>
  <sheetData>
    <row r="2" spans="1:16">
      <c r="A2" s="169" t="s">
        <v>41</v>
      </c>
      <c r="B2" s="169"/>
      <c r="C2" s="169"/>
      <c r="D2" s="169"/>
      <c r="E2" s="169"/>
    </row>
    <row r="3" spans="1:16">
      <c r="A3" s="118"/>
      <c r="B3" s="72"/>
      <c r="C3" s="118"/>
      <c r="D3" s="118"/>
      <c r="E3" s="118"/>
    </row>
    <row r="4" spans="1:16">
      <c r="A4" s="119" t="s">
        <v>187</v>
      </c>
      <c r="B4" s="120"/>
      <c r="C4" s="120"/>
      <c r="D4" s="120"/>
      <c r="E4" s="120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</row>
    <row r="5" spans="1:16" s="9" customFormat="1" ht="14.1" customHeight="1">
      <c r="A5" s="168" t="s">
        <v>11</v>
      </c>
      <c r="B5" s="168" t="s">
        <v>9</v>
      </c>
      <c r="C5" s="108" t="s">
        <v>0</v>
      </c>
      <c r="D5" s="168" t="s">
        <v>47</v>
      </c>
      <c r="E5" s="107" t="s">
        <v>3</v>
      </c>
      <c r="F5" s="168" t="s">
        <v>47</v>
      </c>
      <c r="G5" s="107" t="s">
        <v>72</v>
      </c>
      <c r="H5" s="168" t="s">
        <v>47</v>
      </c>
      <c r="I5" s="107" t="s">
        <v>73</v>
      </c>
      <c r="J5" s="168" t="s">
        <v>47</v>
      </c>
      <c r="K5" s="107" t="s">
        <v>1</v>
      </c>
      <c r="L5" s="168" t="s">
        <v>47</v>
      </c>
      <c r="M5" s="122"/>
      <c r="N5" s="122"/>
      <c r="O5" s="122"/>
      <c r="P5" s="122"/>
    </row>
    <row r="6" spans="1:16" s="9" customFormat="1" ht="14.1" customHeight="1">
      <c r="A6" s="168"/>
      <c r="B6" s="168"/>
      <c r="C6" s="109">
        <v>50</v>
      </c>
      <c r="D6" s="168"/>
      <c r="E6" s="109">
        <v>150</v>
      </c>
      <c r="F6" s="168"/>
      <c r="G6" s="109">
        <v>1125</v>
      </c>
      <c r="H6" s="168"/>
      <c r="I6" s="109">
        <v>7500</v>
      </c>
      <c r="J6" s="168"/>
      <c r="K6" s="109">
        <v>18750</v>
      </c>
      <c r="L6" s="168"/>
      <c r="M6" s="122"/>
      <c r="N6" s="122"/>
      <c r="O6" s="122"/>
      <c r="P6" s="122"/>
    </row>
    <row r="7" spans="1:16" s="9" customFormat="1" ht="14.1" customHeight="1">
      <c r="A7" s="168"/>
      <c r="B7" s="168"/>
      <c r="C7" s="110" t="s">
        <v>6</v>
      </c>
      <c r="D7" s="168"/>
      <c r="E7" s="110" t="s">
        <v>6</v>
      </c>
      <c r="F7" s="168"/>
      <c r="G7" s="110" t="s">
        <v>6</v>
      </c>
      <c r="H7" s="168"/>
      <c r="I7" s="110" t="s">
        <v>6</v>
      </c>
      <c r="J7" s="168"/>
      <c r="K7" s="110" t="s">
        <v>6</v>
      </c>
      <c r="L7" s="168"/>
      <c r="M7" s="122"/>
      <c r="N7" s="122"/>
      <c r="O7" s="122"/>
      <c r="P7" s="122"/>
    </row>
    <row r="8" spans="1:16">
      <c r="A8" s="161">
        <v>45771</v>
      </c>
      <c r="B8" s="165">
        <v>1</v>
      </c>
      <c r="C8" s="111">
        <v>49.912999999999997</v>
      </c>
      <c r="D8" s="112">
        <v>-0.2</v>
      </c>
      <c r="E8" s="111">
        <v>146.91999999999999</v>
      </c>
      <c r="F8" s="112">
        <v>-2.1</v>
      </c>
      <c r="G8" s="111">
        <v>1131.403</v>
      </c>
      <c r="H8" s="112">
        <v>0.6</v>
      </c>
      <c r="I8" s="111">
        <v>7954.7610000000004</v>
      </c>
      <c r="J8" s="112">
        <v>6.1</v>
      </c>
      <c r="K8" s="111">
        <v>18822.5</v>
      </c>
      <c r="L8" s="112">
        <v>0.4</v>
      </c>
      <c r="M8" s="121"/>
      <c r="N8" s="121"/>
      <c r="O8" s="121"/>
      <c r="P8" s="121"/>
    </row>
    <row r="9" spans="1:16">
      <c r="A9" s="161"/>
      <c r="B9" s="166"/>
      <c r="C9" s="111">
        <v>48.609000000000002</v>
      </c>
      <c r="D9" s="112">
        <v>-2.8</v>
      </c>
      <c r="E9" s="111">
        <v>159.44499999999999</v>
      </c>
      <c r="F9" s="112">
        <v>6.3</v>
      </c>
      <c r="G9" s="111">
        <v>1158.127</v>
      </c>
      <c r="H9" s="112">
        <v>2.9</v>
      </c>
      <c r="I9" s="111">
        <v>7849.5129999999999</v>
      </c>
      <c r="J9" s="112">
        <v>4.7</v>
      </c>
      <c r="K9" s="111">
        <v>19874.682000000001</v>
      </c>
      <c r="L9" s="112">
        <v>6</v>
      </c>
      <c r="M9" s="121"/>
      <c r="N9" s="121"/>
      <c r="O9" s="121"/>
      <c r="P9" s="121"/>
    </row>
    <row r="10" spans="1:16">
      <c r="A10" s="161"/>
      <c r="B10" s="166"/>
      <c r="C10" s="111">
        <v>48.862000000000002</v>
      </c>
      <c r="D10" s="112">
        <v>-2.2999999999999998</v>
      </c>
      <c r="E10" s="111">
        <v>143.39599999999999</v>
      </c>
      <c r="F10" s="112">
        <v>-4.4000000000000004</v>
      </c>
      <c r="G10" s="111">
        <v>1140.2159999999999</v>
      </c>
      <c r="H10" s="112">
        <v>1.4</v>
      </c>
      <c r="I10" s="111">
        <v>7931.0020000000004</v>
      </c>
      <c r="J10" s="112">
        <v>5.7</v>
      </c>
      <c r="K10" s="111">
        <v>19633.048999999999</v>
      </c>
      <c r="L10" s="112">
        <v>4.7</v>
      </c>
      <c r="M10" s="121"/>
      <c r="N10" s="121"/>
      <c r="O10" s="121"/>
      <c r="P10" s="121"/>
    </row>
    <row r="11" spans="1:16">
      <c r="A11" s="161"/>
      <c r="B11" s="166"/>
      <c r="C11" s="111">
        <v>48.978999999999999</v>
      </c>
      <c r="D11" s="112">
        <v>-2</v>
      </c>
      <c r="E11" s="111">
        <v>147.58799999999999</v>
      </c>
      <c r="F11" s="112">
        <v>-1.6</v>
      </c>
      <c r="G11" s="111">
        <v>1137.951</v>
      </c>
      <c r="H11" s="112">
        <v>1.2</v>
      </c>
      <c r="I11" s="111">
        <v>7821.4579999999996</v>
      </c>
      <c r="J11" s="112">
        <v>4.3</v>
      </c>
      <c r="K11" s="111">
        <v>18782.153999999999</v>
      </c>
      <c r="L11" s="112">
        <v>0.2</v>
      </c>
      <c r="M11" s="121"/>
      <c r="N11" s="121"/>
      <c r="O11" s="121"/>
      <c r="P11" s="121"/>
    </row>
    <row r="12" spans="1:16">
      <c r="A12" s="161"/>
      <c r="B12" s="166"/>
      <c r="C12" s="111">
        <v>49.816000000000003</v>
      </c>
      <c r="D12" s="112">
        <v>-0.4</v>
      </c>
      <c r="E12" s="111" t="s">
        <v>138</v>
      </c>
      <c r="F12" s="112">
        <v>-22.5</v>
      </c>
      <c r="G12" s="111">
        <v>1089.117</v>
      </c>
      <c r="H12" s="112">
        <v>-3.2</v>
      </c>
      <c r="I12" s="111">
        <v>7566.1</v>
      </c>
      <c r="J12" s="112">
        <v>0.9</v>
      </c>
      <c r="K12" s="111">
        <v>18572.222000000002</v>
      </c>
      <c r="L12" s="112">
        <v>-0.9</v>
      </c>
      <c r="M12" s="121"/>
      <c r="N12" s="121"/>
      <c r="O12" s="121"/>
      <c r="P12" s="121"/>
    </row>
    <row r="13" spans="1:16">
      <c r="A13" s="161"/>
      <c r="B13" s="167"/>
      <c r="C13" s="111">
        <v>47.232999999999997</v>
      </c>
      <c r="D13" s="112">
        <v>-5.5</v>
      </c>
      <c r="E13" s="111">
        <v>143.38300000000001</v>
      </c>
      <c r="F13" s="112">
        <v>-4.4000000000000004</v>
      </c>
      <c r="G13" s="111">
        <v>1096.009</v>
      </c>
      <c r="H13" s="112">
        <v>-2.6</v>
      </c>
      <c r="I13" s="111">
        <v>7783.02</v>
      </c>
      <c r="J13" s="112">
        <v>3.8</v>
      </c>
      <c r="K13" s="111">
        <v>19710.832999999999</v>
      </c>
      <c r="L13" s="112">
        <v>5.0999999999999996</v>
      </c>
      <c r="M13" s="121"/>
      <c r="N13" s="121"/>
      <c r="O13" s="121"/>
      <c r="P13" s="121"/>
    </row>
    <row r="14" spans="1:16" ht="13.5" customHeight="1">
      <c r="A14" s="113" t="s">
        <v>61</v>
      </c>
      <c r="B14" s="158"/>
      <c r="C14" s="114">
        <v>48.902000000000001</v>
      </c>
      <c r="D14" s="155"/>
      <c r="E14" s="114">
        <v>142.81899999999999</v>
      </c>
      <c r="F14" s="155"/>
      <c r="G14" s="114">
        <v>1125.471</v>
      </c>
      <c r="H14" s="155"/>
      <c r="I14" s="114">
        <v>7817.6419999999998</v>
      </c>
      <c r="J14" s="155"/>
      <c r="K14" s="114">
        <v>19232.573</v>
      </c>
      <c r="L14" s="155"/>
      <c r="M14" s="121"/>
      <c r="N14" s="121"/>
      <c r="O14" s="121"/>
      <c r="P14" s="121"/>
    </row>
    <row r="15" spans="1:16" ht="13.5" customHeight="1">
      <c r="A15" s="113" t="s">
        <v>20</v>
      </c>
      <c r="B15" s="159"/>
      <c r="C15" s="114">
        <v>0.97299999999999998</v>
      </c>
      <c r="D15" s="156"/>
      <c r="E15" s="114">
        <v>14.327</v>
      </c>
      <c r="F15" s="156"/>
      <c r="G15" s="114">
        <v>27.071999999999999</v>
      </c>
      <c r="H15" s="156"/>
      <c r="I15" s="114">
        <v>139.39500000000001</v>
      </c>
      <c r="J15" s="156"/>
      <c r="K15" s="114">
        <v>567.18899999999996</v>
      </c>
      <c r="L15" s="156"/>
      <c r="M15" s="121"/>
      <c r="N15" s="121"/>
      <c r="O15" s="121"/>
      <c r="P15" s="121"/>
    </row>
    <row r="16" spans="1:16" ht="13.5" customHeight="1">
      <c r="A16" s="113" t="s">
        <v>49</v>
      </c>
      <c r="B16" s="159"/>
      <c r="C16" s="115">
        <v>2</v>
      </c>
      <c r="D16" s="156"/>
      <c r="E16" s="115">
        <v>10</v>
      </c>
      <c r="F16" s="156"/>
      <c r="G16" s="115">
        <v>2.4</v>
      </c>
      <c r="H16" s="156"/>
      <c r="I16" s="115">
        <v>1.8</v>
      </c>
      <c r="J16" s="156"/>
      <c r="K16" s="115">
        <v>2.9</v>
      </c>
      <c r="L16" s="156"/>
      <c r="M16" s="121"/>
      <c r="N16" s="121"/>
      <c r="O16" s="121"/>
      <c r="P16" s="121"/>
    </row>
    <row r="17" spans="1:16" ht="13.5" customHeight="1">
      <c r="A17" s="113" t="s">
        <v>50</v>
      </c>
      <c r="B17" s="159"/>
      <c r="C17" s="115">
        <v>-2.2000000000000002</v>
      </c>
      <c r="D17" s="156"/>
      <c r="E17" s="115">
        <v>-4.8</v>
      </c>
      <c r="F17" s="156"/>
      <c r="G17" s="115">
        <v>0</v>
      </c>
      <c r="H17" s="156"/>
      <c r="I17" s="115">
        <v>4.2</v>
      </c>
      <c r="J17" s="156"/>
      <c r="K17" s="115">
        <v>2.6</v>
      </c>
      <c r="L17" s="156"/>
      <c r="M17" s="121"/>
      <c r="N17" s="121"/>
      <c r="O17" s="121"/>
      <c r="P17" s="121"/>
    </row>
    <row r="18" spans="1:16" ht="13.5" customHeight="1">
      <c r="A18" s="113" t="s">
        <v>5</v>
      </c>
      <c r="B18" s="160"/>
      <c r="C18" s="116">
        <v>6</v>
      </c>
      <c r="D18" s="157"/>
      <c r="E18" s="116">
        <v>6</v>
      </c>
      <c r="F18" s="157"/>
      <c r="G18" s="116">
        <v>6</v>
      </c>
      <c r="H18" s="157"/>
      <c r="I18" s="116">
        <v>6</v>
      </c>
      <c r="J18" s="157"/>
      <c r="K18" s="116">
        <v>6</v>
      </c>
      <c r="L18" s="157"/>
      <c r="M18" s="121"/>
      <c r="N18" s="121"/>
      <c r="O18" s="121"/>
      <c r="P18" s="121"/>
    </row>
    <row r="19" spans="1:16">
      <c r="A19" s="161">
        <v>45778</v>
      </c>
      <c r="B19" s="165">
        <v>5</v>
      </c>
      <c r="C19" s="111">
        <v>50.780999999999999</v>
      </c>
      <c r="D19" s="112">
        <v>1.6</v>
      </c>
      <c r="E19" s="111">
        <v>152.24600000000001</v>
      </c>
      <c r="F19" s="112">
        <v>1.5</v>
      </c>
      <c r="G19" s="111">
        <v>1125.451</v>
      </c>
      <c r="H19" s="112">
        <v>0</v>
      </c>
      <c r="I19" s="111">
        <v>7718.6819999999998</v>
      </c>
      <c r="J19" s="112">
        <v>2.9</v>
      </c>
      <c r="K19" s="111">
        <v>19788.928</v>
      </c>
      <c r="L19" s="112">
        <v>5.5</v>
      </c>
      <c r="M19" s="121"/>
      <c r="N19" s="34" t="s">
        <v>70</v>
      </c>
    </row>
    <row r="20" spans="1:16">
      <c r="A20" s="161"/>
      <c r="B20" s="166"/>
      <c r="C20" s="111">
        <v>53.280999999999999</v>
      </c>
      <c r="D20" s="112">
        <v>6.6</v>
      </c>
      <c r="E20" s="111">
        <v>146.55799999999999</v>
      </c>
      <c r="F20" s="112">
        <v>-2.2999999999999998</v>
      </c>
      <c r="G20" s="111">
        <v>1131.954</v>
      </c>
      <c r="H20" s="112">
        <v>0.6</v>
      </c>
      <c r="I20" s="111">
        <v>7717.7960000000003</v>
      </c>
      <c r="J20" s="112">
        <v>2.9</v>
      </c>
      <c r="K20" s="111">
        <v>19599.82</v>
      </c>
      <c r="L20" s="112">
        <v>4.5</v>
      </c>
      <c r="M20" s="121"/>
      <c r="N20" s="123" t="s">
        <v>66</v>
      </c>
      <c r="O20" s="34" t="s">
        <v>64</v>
      </c>
      <c r="P20" s="34" t="s">
        <v>65</v>
      </c>
    </row>
    <row r="21" spans="1:16">
      <c r="A21" s="161"/>
      <c r="B21" s="166"/>
      <c r="C21" s="111">
        <v>49.878999999999998</v>
      </c>
      <c r="D21" s="112">
        <v>-0.2</v>
      </c>
      <c r="E21" s="111">
        <v>163.36000000000001</v>
      </c>
      <c r="F21" s="112">
        <v>8.9</v>
      </c>
      <c r="G21" s="111">
        <v>1185.9490000000001</v>
      </c>
      <c r="H21" s="112">
        <v>5.4</v>
      </c>
      <c r="I21" s="111">
        <v>7617.0529999999999</v>
      </c>
      <c r="J21" s="112">
        <v>1.6</v>
      </c>
      <c r="K21" s="111">
        <v>19131.8</v>
      </c>
      <c r="L21" s="112">
        <v>2</v>
      </c>
      <c r="M21" s="121"/>
      <c r="N21" s="123" t="s">
        <v>68</v>
      </c>
      <c r="O21" s="124">
        <f>MAX(E17,G17,I17,K17,E28,G28,I28,K28,E39,G39,I39,K39)</f>
        <v>7.1</v>
      </c>
      <c r="P21" s="124">
        <f>MIN(E17,G17,I17,K17,E28,G28,I28,K28,E39,G39,I39,K39)</f>
        <v>-4.8</v>
      </c>
    </row>
    <row r="22" spans="1:16">
      <c r="A22" s="161"/>
      <c r="B22" s="166"/>
      <c r="C22" s="111">
        <v>59.5</v>
      </c>
      <c r="D22" s="112">
        <v>19</v>
      </c>
      <c r="E22" s="111">
        <v>154.078</v>
      </c>
      <c r="F22" s="112">
        <v>2.7</v>
      </c>
      <c r="G22" s="111">
        <v>1057.5360000000001</v>
      </c>
      <c r="H22" s="112">
        <v>-6</v>
      </c>
      <c r="I22" s="111">
        <v>7392.7650000000003</v>
      </c>
      <c r="J22" s="112">
        <v>-1.4</v>
      </c>
      <c r="K22" s="111">
        <v>19363.384999999998</v>
      </c>
      <c r="L22" s="112">
        <v>3.3</v>
      </c>
      <c r="M22" s="121"/>
      <c r="N22" s="34" t="s">
        <v>69</v>
      </c>
      <c r="O22" s="124">
        <f>MAX(E16,G16,I16,K16,E27,G27,I27,K27,E38,G38,I38,K38)</f>
        <v>10</v>
      </c>
      <c r="P22" s="124">
        <f>MIN(E15,G15,I15,K15,E27,G27,I27,K27,E38,G38,I38,K38)</f>
        <v>1.9</v>
      </c>
    </row>
    <row r="23" spans="1:16">
      <c r="A23" s="161"/>
      <c r="B23" s="166"/>
      <c r="C23" s="111">
        <v>47.881999999999998</v>
      </c>
      <c r="D23" s="112">
        <v>-4.2</v>
      </c>
      <c r="E23" s="111">
        <v>155.01900000000001</v>
      </c>
      <c r="F23" s="112">
        <v>3.3</v>
      </c>
      <c r="G23" s="111">
        <v>1044.5730000000001</v>
      </c>
      <c r="H23" s="112">
        <v>-7.1</v>
      </c>
      <c r="I23" s="111">
        <v>7394.22</v>
      </c>
      <c r="J23" s="112">
        <v>-1.4</v>
      </c>
      <c r="K23" s="111">
        <v>19776.938999999998</v>
      </c>
      <c r="L23" s="112">
        <v>5.5</v>
      </c>
      <c r="M23" s="121"/>
    </row>
    <row r="24" spans="1:16">
      <c r="A24" s="161"/>
      <c r="B24" s="167"/>
      <c r="C24" s="111">
        <v>49.786000000000001</v>
      </c>
      <c r="D24" s="112">
        <v>-0.4</v>
      </c>
      <c r="E24" s="111" t="s">
        <v>139</v>
      </c>
      <c r="F24" s="112">
        <v>22.7</v>
      </c>
      <c r="G24" s="111">
        <v>1055.7249999999999</v>
      </c>
      <c r="H24" s="112">
        <v>-6.2</v>
      </c>
      <c r="I24" s="111">
        <v>7778.77</v>
      </c>
      <c r="J24" s="112">
        <v>3.7</v>
      </c>
      <c r="K24" s="111">
        <v>18512.205000000002</v>
      </c>
      <c r="L24" s="112">
        <v>-1.3</v>
      </c>
      <c r="M24" s="121"/>
      <c r="N24" s="123" t="s">
        <v>67</v>
      </c>
      <c r="O24" s="34" t="s">
        <v>64</v>
      </c>
      <c r="P24" s="34" t="s">
        <v>65</v>
      </c>
    </row>
    <row r="25" spans="1:16" ht="13.5" customHeight="1">
      <c r="A25" s="113" t="s">
        <v>61</v>
      </c>
      <c r="B25" s="158"/>
      <c r="C25" s="114">
        <v>51.851999999999997</v>
      </c>
      <c r="D25" s="155"/>
      <c r="E25" s="114">
        <v>159.22200000000001</v>
      </c>
      <c r="F25" s="155"/>
      <c r="G25" s="114">
        <v>1100.1980000000001</v>
      </c>
      <c r="H25" s="155"/>
      <c r="I25" s="114">
        <v>7603.2139999999999</v>
      </c>
      <c r="J25" s="155"/>
      <c r="K25" s="114">
        <v>19362.18</v>
      </c>
      <c r="L25" s="155"/>
      <c r="M25" s="121"/>
      <c r="N25" s="123" t="s">
        <v>68</v>
      </c>
      <c r="O25" s="124">
        <f>MAX(E44,G44,I44,K44)</f>
        <v>4.3</v>
      </c>
      <c r="P25" s="124">
        <f>MIN(E44,G44,I44,K44)</f>
        <v>-1.6</v>
      </c>
    </row>
    <row r="26" spans="1:16" ht="13.5" customHeight="1">
      <c r="A26" s="113" t="s">
        <v>20</v>
      </c>
      <c r="B26" s="159"/>
      <c r="C26" s="114">
        <v>4.1379999999999999</v>
      </c>
      <c r="D26" s="156"/>
      <c r="E26" s="114">
        <v>13.324</v>
      </c>
      <c r="F26" s="156"/>
      <c r="G26" s="114">
        <v>56.375999999999998</v>
      </c>
      <c r="H26" s="156"/>
      <c r="I26" s="114">
        <v>170.55199999999999</v>
      </c>
      <c r="J26" s="156"/>
      <c r="K26" s="114">
        <v>487.06200000000001</v>
      </c>
      <c r="L26" s="156"/>
      <c r="M26" s="121"/>
      <c r="N26" s="34" t="s">
        <v>69</v>
      </c>
      <c r="O26" s="124">
        <f>MAX(E43,G43,I43,K43)</f>
        <v>8.5</v>
      </c>
      <c r="P26" s="124">
        <f>MIN(E43,G43,I43,K43)</f>
        <v>2.5</v>
      </c>
    </row>
    <row r="27" spans="1:16" ht="13.5" customHeight="1">
      <c r="A27" s="113" t="s">
        <v>49</v>
      </c>
      <c r="B27" s="159"/>
      <c r="C27" s="115">
        <v>8</v>
      </c>
      <c r="D27" s="156"/>
      <c r="E27" s="115">
        <v>8.4</v>
      </c>
      <c r="F27" s="156"/>
      <c r="G27" s="115">
        <v>5.0999999999999996</v>
      </c>
      <c r="H27" s="156"/>
      <c r="I27" s="115">
        <v>2.2000000000000002</v>
      </c>
      <c r="J27" s="156"/>
      <c r="K27" s="115">
        <v>2.5</v>
      </c>
      <c r="L27" s="156"/>
      <c r="M27" s="121"/>
    </row>
    <row r="28" spans="1:16" ht="13.5" customHeight="1">
      <c r="A28" s="113" t="s">
        <v>50</v>
      </c>
      <c r="B28" s="159"/>
      <c r="C28" s="115">
        <v>3.7</v>
      </c>
      <c r="D28" s="156"/>
      <c r="E28" s="115">
        <v>6.1</v>
      </c>
      <c r="F28" s="156"/>
      <c r="G28" s="115">
        <v>-2.2000000000000002</v>
      </c>
      <c r="H28" s="156"/>
      <c r="I28" s="115">
        <v>1.4</v>
      </c>
      <c r="J28" s="156"/>
      <c r="K28" s="115">
        <v>3.3</v>
      </c>
      <c r="L28" s="156"/>
      <c r="M28" s="121"/>
      <c r="N28" s="34" t="s">
        <v>71</v>
      </c>
    </row>
    <row r="29" spans="1:16" ht="13.5" customHeight="1">
      <c r="A29" s="113" t="s">
        <v>5</v>
      </c>
      <c r="B29" s="160"/>
      <c r="C29" s="116">
        <v>6</v>
      </c>
      <c r="D29" s="157"/>
      <c r="E29" s="116">
        <v>6</v>
      </c>
      <c r="F29" s="157"/>
      <c r="G29" s="116">
        <v>6</v>
      </c>
      <c r="H29" s="157"/>
      <c r="I29" s="116">
        <v>6</v>
      </c>
      <c r="J29" s="157"/>
      <c r="K29" s="116">
        <v>6</v>
      </c>
      <c r="L29" s="157"/>
      <c r="M29" s="121"/>
      <c r="N29" s="123" t="s">
        <v>66</v>
      </c>
      <c r="O29" s="34" t="s">
        <v>64</v>
      </c>
      <c r="P29" s="34" t="s">
        <v>65</v>
      </c>
    </row>
    <row r="30" spans="1:16">
      <c r="A30" s="161">
        <v>45792</v>
      </c>
      <c r="B30" s="162">
        <v>8</v>
      </c>
      <c r="C30" s="111">
        <v>47.981999999999999</v>
      </c>
      <c r="D30" s="112">
        <v>-4</v>
      </c>
      <c r="E30" s="111">
        <v>150.517</v>
      </c>
      <c r="F30" s="112">
        <v>0.3</v>
      </c>
      <c r="G30" s="111">
        <v>1117.692</v>
      </c>
      <c r="H30" s="112">
        <v>-0.6</v>
      </c>
      <c r="I30" s="111">
        <v>7732.9359999999997</v>
      </c>
      <c r="J30" s="112">
        <v>3.1</v>
      </c>
      <c r="K30" s="111">
        <v>20476.169999999998</v>
      </c>
      <c r="L30" s="112">
        <v>9.1999999999999993</v>
      </c>
      <c r="M30" s="121"/>
      <c r="N30" s="123" t="s">
        <v>68</v>
      </c>
      <c r="O30" s="124">
        <f>MAX(C17,C28,C39)</f>
        <v>3.7</v>
      </c>
      <c r="P30" s="124">
        <f>MIN(C17,C28,C39)</f>
        <v>-2.2000000000000002</v>
      </c>
    </row>
    <row r="31" spans="1:16">
      <c r="A31" s="161"/>
      <c r="B31" s="163"/>
      <c r="C31" s="111">
        <v>53.923999999999999</v>
      </c>
      <c r="D31" s="112">
        <v>7.8</v>
      </c>
      <c r="E31" s="111">
        <v>151.10400000000001</v>
      </c>
      <c r="F31" s="112">
        <v>0.7</v>
      </c>
      <c r="G31" s="111">
        <v>1067.4159999999999</v>
      </c>
      <c r="H31" s="112">
        <v>-5.0999999999999996</v>
      </c>
      <c r="I31" s="111">
        <v>7762.9459999999999</v>
      </c>
      <c r="J31" s="112">
        <v>3.5</v>
      </c>
      <c r="K31" s="111">
        <v>20386.382000000001</v>
      </c>
      <c r="L31" s="112">
        <v>8.6999999999999993</v>
      </c>
      <c r="M31" s="121"/>
      <c r="N31" s="34" t="s">
        <v>69</v>
      </c>
      <c r="O31" s="124">
        <f>MAX(C16,C27,C38)</f>
        <v>8</v>
      </c>
      <c r="P31" s="124">
        <f>MIN(C16,C27,C38)</f>
        <v>2</v>
      </c>
    </row>
    <row r="32" spans="1:16">
      <c r="A32" s="161"/>
      <c r="B32" s="163"/>
      <c r="C32" s="111">
        <v>49.982999999999997</v>
      </c>
      <c r="D32" s="112">
        <v>0</v>
      </c>
      <c r="E32" s="111">
        <v>148.69800000000001</v>
      </c>
      <c r="F32" s="112">
        <v>-0.9</v>
      </c>
      <c r="G32" s="111">
        <v>1078.193</v>
      </c>
      <c r="H32" s="112">
        <v>-4.2</v>
      </c>
      <c r="I32" s="111">
        <v>8163.107</v>
      </c>
      <c r="J32" s="112">
        <v>8.8000000000000007</v>
      </c>
      <c r="K32" s="111">
        <v>20119.219000000001</v>
      </c>
      <c r="L32" s="112">
        <v>7.3</v>
      </c>
      <c r="M32" s="121"/>
    </row>
    <row r="33" spans="1:16">
      <c r="A33" s="161"/>
      <c r="B33" s="163"/>
      <c r="C33" s="111">
        <v>55.066000000000003</v>
      </c>
      <c r="D33" s="112">
        <v>10.1</v>
      </c>
      <c r="E33" s="111">
        <v>153.92599999999999</v>
      </c>
      <c r="F33" s="112">
        <v>2.6</v>
      </c>
      <c r="G33" s="111">
        <v>1097.8009999999999</v>
      </c>
      <c r="H33" s="112">
        <v>-2.4</v>
      </c>
      <c r="I33" s="111">
        <v>7649.1859999999997</v>
      </c>
      <c r="J33" s="112">
        <v>2</v>
      </c>
      <c r="K33" s="111">
        <v>20661.637999999999</v>
      </c>
      <c r="L33" s="112">
        <v>10.199999999999999</v>
      </c>
      <c r="M33" s="121"/>
      <c r="N33" s="123" t="s">
        <v>67</v>
      </c>
      <c r="O33" s="34" t="s">
        <v>64</v>
      </c>
      <c r="P33" s="34" t="s">
        <v>65</v>
      </c>
    </row>
    <row r="34" spans="1:16">
      <c r="A34" s="161"/>
      <c r="B34" s="163"/>
      <c r="C34" s="111">
        <v>48.822000000000003</v>
      </c>
      <c r="D34" s="112">
        <v>-2.4</v>
      </c>
      <c r="E34" s="111">
        <v>146.95699999999999</v>
      </c>
      <c r="F34" s="112">
        <v>-2</v>
      </c>
      <c r="G34" s="111">
        <v>1121.4760000000001</v>
      </c>
      <c r="H34" s="112">
        <v>-0.3</v>
      </c>
      <c r="I34" s="111">
        <v>7968.9949999999999</v>
      </c>
      <c r="J34" s="112">
        <v>6.3</v>
      </c>
      <c r="K34" s="111">
        <v>19642.137999999999</v>
      </c>
      <c r="L34" s="112">
        <v>4.8</v>
      </c>
      <c r="M34" s="121"/>
      <c r="N34" s="123" t="s">
        <v>68</v>
      </c>
      <c r="O34" s="124">
        <f>MAX(C44)</f>
        <v>1.3</v>
      </c>
      <c r="P34" s="124">
        <f>MIN(C44)</f>
        <v>1.3</v>
      </c>
    </row>
    <row r="35" spans="1:16">
      <c r="A35" s="161"/>
      <c r="B35" s="164"/>
      <c r="C35" s="111">
        <v>51.186</v>
      </c>
      <c r="D35" s="112">
        <v>2.4</v>
      </c>
      <c r="E35" s="111">
        <v>155.55799999999999</v>
      </c>
      <c r="F35" s="112">
        <v>3.7</v>
      </c>
      <c r="G35" s="111">
        <v>1094.712</v>
      </c>
      <c r="H35" s="112">
        <v>-2.7</v>
      </c>
      <c r="I35" s="111">
        <v>7691.46</v>
      </c>
      <c r="J35" s="112">
        <v>2.6</v>
      </c>
      <c r="K35" s="111">
        <v>19173.174999999999</v>
      </c>
      <c r="L35" s="112">
        <v>2.2999999999999998</v>
      </c>
      <c r="M35" s="121"/>
      <c r="N35" s="34" t="s">
        <v>69</v>
      </c>
      <c r="O35" s="124">
        <f>MAX(C43)</f>
        <v>6</v>
      </c>
      <c r="P35" s="124">
        <f>MIN(C43)</f>
        <v>6</v>
      </c>
    </row>
    <row r="36" spans="1:16" ht="14.1" customHeight="1">
      <c r="A36" s="113" t="s">
        <v>61</v>
      </c>
      <c r="B36" s="158"/>
      <c r="C36" s="114">
        <v>51.161000000000001</v>
      </c>
      <c r="D36" s="155"/>
      <c r="E36" s="114">
        <v>151.12700000000001</v>
      </c>
      <c r="F36" s="155"/>
      <c r="G36" s="114">
        <v>1096.2149999999999</v>
      </c>
      <c r="H36" s="155"/>
      <c r="I36" s="114">
        <v>7828.1049999999996</v>
      </c>
      <c r="J36" s="155"/>
      <c r="K36" s="114">
        <v>20076.454000000002</v>
      </c>
      <c r="L36" s="155"/>
      <c r="M36" s="121"/>
      <c r="N36" s="121"/>
      <c r="O36" s="121"/>
      <c r="P36" s="121"/>
    </row>
    <row r="37" spans="1:16" ht="14.1" customHeight="1">
      <c r="A37" s="113" t="s">
        <v>20</v>
      </c>
      <c r="B37" s="159"/>
      <c r="C37" s="114">
        <v>2.823</v>
      </c>
      <c r="D37" s="156"/>
      <c r="E37" s="114">
        <v>3.198</v>
      </c>
      <c r="F37" s="156"/>
      <c r="G37" s="114">
        <v>21.251999999999999</v>
      </c>
      <c r="H37" s="156"/>
      <c r="I37" s="114">
        <v>198.02199999999999</v>
      </c>
      <c r="J37" s="156"/>
      <c r="K37" s="114">
        <v>566.505</v>
      </c>
      <c r="L37" s="156"/>
      <c r="M37" s="121"/>
      <c r="N37" s="121"/>
      <c r="O37" s="121"/>
      <c r="P37" s="121"/>
    </row>
    <row r="38" spans="1:16" ht="14.1" customHeight="1">
      <c r="A38" s="113" t="s">
        <v>94</v>
      </c>
      <c r="B38" s="159"/>
      <c r="C38" s="115">
        <v>5.5</v>
      </c>
      <c r="D38" s="156"/>
      <c r="E38" s="115">
        <v>2.1</v>
      </c>
      <c r="F38" s="156"/>
      <c r="G38" s="115">
        <v>1.9</v>
      </c>
      <c r="H38" s="156"/>
      <c r="I38" s="115">
        <v>2.5</v>
      </c>
      <c r="J38" s="156"/>
      <c r="K38" s="115">
        <v>2.8</v>
      </c>
      <c r="L38" s="156"/>
      <c r="M38" s="121"/>
      <c r="N38" s="121"/>
      <c r="O38" s="121"/>
      <c r="P38" s="121"/>
    </row>
    <row r="39" spans="1:16" ht="14.1" customHeight="1">
      <c r="A39" s="113" t="s">
        <v>95</v>
      </c>
      <c r="B39" s="159"/>
      <c r="C39" s="115">
        <v>2.2999999999999998</v>
      </c>
      <c r="D39" s="156"/>
      <c r="E39" s="115">
        <v>0.8</v>
      </c>
      <c r="F39" s="156"/>
      <c r="G39" s="115">
        <v>-2.6</v>
      </c>
      <c r="H39" s="156"/>
      <c r="I39" s="115">
        <v>4.4000000000000004</v>
      </c>
      <c r="J39" s="156"/>
      <c r="K39" s="115">
        <v>7.1</v>
      </c>
      <c r="L39" s="156"/>
      <c r="M39" s="121"/>
      <c r="N39" s="121"/>
      <c r="O39" s="121"/>
      <c r="P39" s="121"/>
    </row>
    <row r="40" spans="1:16" ht="14.1" customHeight="1">
      <c r="A40" s="113" t="s">
        <v>5</v>
      </c>
      <c r="B40" s="160"/>
      <c r="C40" s="116">
        <v>6</v>
      </c>
      <c r="D40" s="157"/>
      <c r="E40" s="116">
        <v>6</v>
      </c>
      <c r="F40" s="157"/>
      <c r="G40" s="116">
        <v>6</v>
      </c>
      <c r="H40" s="157"/>
      <c r="I40" s="116">
        <v>6</v>
      </c>
      <c r="J40" s="157"/>
      <c r="K40" s="116">
        <v>6</v>
      </c>
      <c r="L40" s="157"/>
      <c r="M40" s="121"/>
      <c r="N40" s="121"/>
      <c r="O40" s="121"/>
      <c r="P40" s="121"/>
    </row>
    <row r="41" spans="1:16" ht="15" customHeight="1">
      <c r="A41" s="113" t="s">
        <v>19</v>
      </c>
      <c r="B41" s="158"/>
      <c r="C41" s="114">
        <v>50.637999999999998</v>
      </c>
      <c r="D41" s="155"/>
      <c r="E41" s="114">
        <v>151.05600000000001</v>
      </c>
      <c r="F41" s="155"/>
      <c r="G41" s="114">
        <v>1107.2950000000001</v>
      </c>
      <c r="H41" s="155"/>
      <c r="I41" s="114">
        <v>7749.6540000000005</v>
      </c>
      <c r="J41" s="155"/>
      <c r="K41" s="114">
        <v>19557.069</v>
      </c>
      <c r="L41" s="155"/>
      <c r="M41" s="121"/>
      <c r="N41" s="121"/>
      <c r="O41" s="121"/>
      <c r="P41" s="121"/>
    </row>
    <row r="42" spans="1:16" ht="15" customHeight="1">
      <c r="A42" s="113" t="s">
        <v>21</v>
      </c>
      <c r="B42" s="159"/>
      <c r="C42" s="114">
        <v>3.056</v>
      </c>
      <c r="D42" s="156"/>
      <c r="E42" s="114">
        <v>12.77</v>
      </c>
      <c r="F42" s="156"/>
      <c r="G42" s="114">
        <v>38.222000000000001</v>
      </c>
      <c r="H42" s="156"/>
      <c r="I42" s="114">
        <v>192.81</v>
      </c>
      <c r="J42" s="156"/>
      <c r="K42" s="114">
        <v>636.05100000000004</v>
      </c>
      <c r="L42" s="156"/>
      <c r="M42" s="121"/>
      <c r="N42" s="121"/>
      <c r="O42" s="121"/>
      <c r="P42" s="121"/>
    </row>
    <row r="43" spans="1:16" ht="15" customHeight="1">
      <c r="A43" s="113" t="s">
        <v>96</v>
      </c>
      <c r="B43" s="159"/>
      <c r="C43" s="115">
        <v>6</v>
      </c>
      <c r="D43" s="156"/>
      <c r="E43" s="115">
        <v>8.5</v>
      </c>
      <c r="F43" s="156"/>
      <c r="G43" s="115">
        <v>3.5</v>
      </c>
      <c r="H43" s="156"/>
      <c r="I43" s="115">
        <v>2.5</v>
      </c>
      <c r="J43" s="156"/>
      <c r="K43" s="115">
        <v>3.3</v>
      </c>
      <c r="L43" s="156"/>
      <c r="M43" s="121"/>
      <c r="N43" s="121"/>
      <c r="O43" s="121"/>
      <c r="P43" s="121"/>
    </row>
    <row r="44" spans="1:16" ht="15" customHeight="1">
      <c r="A44" s="113" t="s">
        <v>97</v>
      </c>
      <c r="B44" s="159"/>
      <c r="C44" s="115">
        <v>1.3</v>
      </c>
      <c r="D44" s="156"/>
      <c r="E44" s="115">
        <v>0.7</v>
      </c>
      <c r="F44" s="156"/>
      <c r="G44" s="115">
        <v>-1.6</v>
      </c>
      <c r="H44" s="156"/>
      <c r="I44" s="115">
        <v>3.3</v>
      </c>
      <c r="J44" s="156"/>
      <c r="K44" s="115">
        <v>4.3</v>
      </c>
      <c r="L44" s="156"/>
      <c r="M44" s="121"/>
      <c r="N44" s="121"/>
      <c r="O44" s="121"/>
      <c r="P44" s="121"/>
    </row>
    <row r="45" spans="1:16" ht="15" customHeight="1">
      <c r="A45" s="113" t="s">
        <v>5</v>
      </c>
      <c r="B45" s="160"/>
      <c r="C45" s="116">
        <v>18</v>
      </c>
      <c r="D45" s="157"/>
      <c r="E45" s="116">
        <v>18</v>
      </c>
      <c r="F45" s="157"/>
      <c r="G45" s="116">
        <v>18</v>
      </c>
      <c r="H45" s="157"/>
      <c r="I45" s="116">
        <v>18</v>
      </c>
      <c r="J45" s="157"/>
      <c r="K45" s="116">
        <v>18</v>
      </c>
      <c r="L45" s="157"/>
      <c r="M45" s="121"/>
      <c r="N45" s="121"/>
      <c r="O45" s="121"/>
      <c r="P45" s="121"/>
    </row>
    <row r="46" spans="1:16" ht="13.5" customHeight="1">
      <c r="A46" s="153" t="s">
        <v>98</v>
      </c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21"/>
      <c r="N46" s="121"/>
      <c r="O46" s="121"/>
      <c r="P46" s="121"/>
    </row>
    <row r="47" spans="1:16" ht="13.5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1"/>
      <c r="N47" s="121"/>
      <c r="O47" s="121"/>
      <c r="P47" s="121"/>
    </row>
    <row r="48" spans="1:16" ht="13.5" customHeight="1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1"/>
      <c r="N48" s="121"/>
      <c r="O48" s="121"/>
      <c r="P48" s="121"/>
    </row>
    <row r="49" spans="1:16" ht="13.5" customHeight="1">
      <c r="A49" s="119" t="s">
        <v>188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1"/>
      <c r="N49" s="121"/>
      <c r="O49" s="121"/>
      <c r="P49" s="121"/>
    </row>
    <row r="50" spans="1:16" ht="13.5" customHeight="1">
      <c r="A50" s="168" t="s">
        <v>11</v>
      </c>
      <c r="B50" s="168" t="s">
        <v>9</v>
      </c>
      <c r="C50" s="108" t="s">
        <v>0</v>
      </c>
      <c r="D50" s="168" t="s">
        <v>47</v>
      </c>
      <c r="E50" s="107" t="s">
        <v>3</v>
      </c>
      <c r="F50" s="168" t="s">
        <v>47</v>
      </c>
      <c r="G50" s="107" t="s">
        <v>72</v>
      </c>
      <c r="H50" s="168" t="s">
        <v>47</v>
      </c>
      <c r="I50" s="107" t="s">
        <v>73</v>
      </c>
      <c r="J50" s="168" t="s">
        <v>47</v>
      </c>
      <c r="K50" s="107" t="s">
        <v>1</v>
      </c>
      <c r="L50" s="168" t="s">
        <v>47</v>
      </c>
      <c r="M50" s="121"/>
      <c r="N50" s="121"/>
      <c r="O50" s="121"/>
      <c r="P50" s="121"/>
    </row>
    <row r="51" spans="1:16" ht="13.5" customHeight="1">
      <c r="A51" s="168"/>
      <c r="B51" s="168"/>
      <c r="C51" s="109">
        <v>50</v>
      </c>
      <c r="D51" s="168"/>
      <c r="E51" s="109">
        <v>150</v>
      </c>
      <c r="F51" s="168"/>
      <c r="G51" s="109">
        <v>1125</v>
      </c>
      <c r="H51" s="168"/>
      <c r="I51" s="109">
        <v>7500</v>
      </c>
      <c r="J51" s="168"/>
      <c r="K51" s="109">
        <v>18750</v>
      </c>
      <c r="L51" s="168"/>
      <c r="M51" s="121"/>
      <c r="N51" s="121"/>
      <c r="O51" s="121"/>
      <c r="P51" s="121"/>
    </row>
    <row r="52" spans="1:16" ht="13.5" customHeight="1">
      <c r="A52" s="168"/>
      <c r="B52" s="168"/>
      <c r="C52" s="110" t="s">
        <v>6</v>
      </c>
      <c r="D52" s="168"/>
      <c r="E52" s="110" t="s">
        <v>6</v>
      </c>
      <c r="F52" s="168"/>
      <c r="G52" s="110" t="s">
        <v>6</v>
      </c>
      <c r="H52" s="168"/>
      <c r="I52" s="110" t="s">
        <v>6</v>
      </c>
      <c r="J52" s="168"/>
      <c r="K52" s="110" t="s">
        <v>6</v>
      </c>
      <c r="L52" s="168"/>
      <c r="M52" s="121"/>
      <c r="N52" s="121"/>
      <c r="O52" s="121"/>
      <c r="P52" s="121"/>
    </row>
    <row r="53" spans="1:16">
      <c r="A53" s="161">
        <v>45785</v>
      </c>
      <c r="B53" s="162">
        <v>6</v>
      </c>
      <c r="C53" s="111">
        <v>57.277000000000001</v>
      </c>
      <c r="D53" s="112">
        <v>14.6</v>
      </c>
      <c r="E53" s="111">
        <v>155.00200000000001</v>
      </c>
      <c r="F53" s="112">
        <v>3.3</v>
      </c>
      <c r="G53" s="111">
        <v>1135.5350000000001</v>
      </c>
      <c r="H53" s="112">
        <v>0.9</v>
      </c>
      <c r="I53" s="111">
        <v>7490.7030000000004</v>
      </c>
      <c r="J53" s="112">
        <v>-0.1</v>
      </c>
      <c r="K53" s="111">
        <v>18901.714</v>
      </c>
      <c r="L53" s="112">
        <v>0.8</v>
      </c>
    </row>
    <row r="54" spans="1:16">
      <c r="A54" s="161"/>
      <c r="B54" s="163"/>
      <c r="C54" s="111">
        <v>58.055999999999997</v>
      </c>
      <c r="D54" s="112">
        <v>16.100000000000001</v>
      </c>
      <c r="E54" s="111">
        <v>151.53800000000001</v>
      </c>
      <c r="F54" s="112">
        <v>1</v>
      </c>
      <c r="G54" s="111">
        <v>1123.088</v>
      </c>
      <c r="H54" s="112">
        <v>-0.2</v>
      </c>
      <c r="I54" s="111">
        <v>7301.598</v>
      </c>
      <c r="J54" s="112">
        <v>-2.6</v>
      </c>
      <c r="K54" s="111">
        <v>18357.032999999999</v>
      </c>
      <c r="L54" s="112">
        <v>-2.1</v>
      </c>
    </row>
    <row r="55" spans="1:16">
      <c r="A55" s="161"/>
      <c r="B55" s="163"/>
      <c r="C55" s="111">
        <v>56.131999999999998</v>
      </c>
      <c r="D55" s="112">
        <v>12.3</v>
      </c>
      <c r="E55" s="111">
        <v>153.31299999999999</v>
      </c>
      <c r="F55" s="112">
        <v>2.2000000000000002</v>
      </c>
      <c r="G55" s="111">
        <v>1129.6420000000001</v>
      </c>
      <c r="H55" s="112">
        <v>0.4</v>
      </c>
      <c r="I55" s="111">
        <v>7616.3040000000001</v>
      </c>
      <c r="J55" s="112">
        <v>1.6</v>
      </c>
      <c r="K55" s="111">
        <v>18309.877</v>
      </c>
      <c r="L55" s="112">
        <v>-2.2999999999999998</v>
      </c>
    </row>
    <row r="56" spans="1:16">
      <c r="A56" s="161"/>
      <c r="B56" s="163"/>
      <c r="C56" s="111">
        <v>41.154000000000003</v>
      </c>
      <c r="D56" s="112">
        <v>-17.7</v>
      </c>
      <c r="E56" s="111" t="s">
        <v>140</v>
      </c>
      <c r="F56" s="112">
        <v>-21.7</v>
      </c>
      <c r="G56" s="111">
        <v>1282.1010000000001</v>
      </c>
      <c r="H56" s="112">
        <v>14</v>
      </c>
      <c r="I56" s="111">
        <v>7510.53</v>
      </c>
      <c r="J56" s="112">
        <v>0.1</v>
      </c>
      <c r="K56" s="111">
        <v>17267.95</v>
      </c>
      <c r="L56" s="112">
        <v>-7.9</v>
      </c>
    </row>
    <row r="57" spans="1:16">
      <c r="A57" s="161"/>
      <c r="B57" s="163"/>
      <c r="C57" s="111">
        <v>42.862000000000002</v>
      </c>
      <c r="D57" s="112">
        <v>-14.3</v>
      </c>
      <c r="E57" s="111" t="s">
        <v>141</v>
      </c>
      <c r="F57" s="112">
        <v>-31.6</v>
      </c>
      <c r="G57" s="111">
        <v>1263.5999999999999</v>
      </c>
      <c r="H57" s="112">
        <v>12.3</v>
      </c>
      <c r="I57" s="111">
        <v>7643.02</v>
      </c>
      <c r="J57" s="112">
        <v>1.9</v>
      </c>
      <c r="K57" s="111">
        <v>17743.094000000001</v>
      </c>
      <c r="L57" s="112">
        <v>-5.4</v>
      </c>
    </row>
    <row r="58" spans="1:16">
      <c r="A58" s="161"/>
      <c r="B58" s="164"/>
      <c r="C58" s="111">
        <v>39.997</v>
      </c>
      <c r="D58" s="112">
        <v>-20</v>
      </c>
      <c r="E58" s="111" t="s">
        <v>142</v>
      </c>
      <c r="F58" s="112">
        <v>-23.8</v>
      </c>
      <c r="G58" s="111">
        <v>1240.1010000000001</v>
      </c>
      <c r="H58" s="112">
        <v>10.199999999999999</v>
      </c>
      <c r="I58" s="111">
        <v>7367.5730000000003</v>
      </c>
      <c r="J58" s="112">
        <v>-1.8</v>
      </c>
      <c r="K58" s="111">
        <v>17449.734</v>
      </c>
      <c r="L58" s="112">
        <v>-6.9</v>
      </c>
    </row>
    <row r="59" spans="1:16">
      <c r="A59" s="113" t="s">
        <v>61</v>
      </c>
      <c r="B59" s="158"/>
      <c r="C59" s="114">
        <v>49.246000000000002</v>
      </c>
      <c r="D59" s="155"/>
      <c r="E59" s="114">
        <v>132.36000000000001</v>
      </c>
      <c r="F59" s="155"/>
      <c r="G59" s="114">
        <v>1195.6780000000001</v>
      </c>
      <c r="H59" s="155"/>
      <c r="I59" s="114">
        <v>7488.2879999999996</v>
      </c>
      <c r="J59" s="155"/>
      <c r="K59" s="114">
        <v>18004.900000000001</v>
      </c>
      <c r="L59" s="155"/>
    </row>
    <row r="60" spans="1:16">
      <c r="A60" s="113" t="s">
        <v>20</v>
      </c>
      <c r="B60" s="159"/>
      <c r="C60" s="114">
        <v>8.7330000000000005</v>
      </c>
      <c r="D60" s="156"/>
      <c r="E60" s="114">
        <v>23.472999999999999</v>
      </c>
      <c r="F60" s="156"/>
      <c r="G60" s="114">
        <v>73.896000000000001</v>
      </c>
      <c r="H60" s="156"/>
      <c r="I60" s="114">
        <v>134.35499999999999</v>
      </c>
      <c r="J60" s="156"/>
      <c r="K60" s="114">
        <v>623.07799999999997</v>
      </c>
      <c r="L60" s="156"/>
    </row>
    <row r="61" spans="1:16">
      <c r="A61" s="113" t="s">
        <v>94</v>
      </c>
      <c r="B61" s="159"/>
      <c r="C61" s="115">
        <v>17.7</v>
      </c>
      <c r="D61" s="156"/>
      <c r="E61" s="115">
        <v>17.7</v>
      </c>
      <c r="F61" s="156"/>
      <c r="G61" s="115">
        <v>6.2</v>
      </c>
      <c r="H61" s="156"/>
      <c r="I61" s="115">
        <v>1.8</v>
      </c>
      <c r="J61" s="156"/>
      <c r="K61" s="115">
        <v>3.5</v>
      </c>
      <c r="L61" s="156"/>
    </row>
    <row r="62" spans="1:16">
      <c r="A62" s="113" t="s">
        <v>95</v>
      </c>
      <c r="B62" s="159"/>
      <c r="C62" s="115">
        <v>-1.5</v>
      </c>
      <c r="D62" s="156"/>
      <c r="E62" s="115">
        <v>-11.8</v>
      </c>
      <c r="F62" s="156"/>
      <c r="G62" s="115">
        <v>6.3</v>
      </c>
      <c r="H62" s="156"/>
      <c r="I62" s="115">
        <v>-0.2</v>
      </c>
      <c r="J62" s="156"/>
      <c r="K62" s="115">
        <v>-4</v>
      </c>
      <c r="L62" s="156"/>
    </row>
    <row r="63" spans="1:16">
      <c r="A63" s="113" t="s">
        <v>5</v>
      </c>
      <c r="B63" s="160"/>
      <c r="C63" s="116">
        <v>6</v>
      </c>
      <c r="D63" s="157"/>
      <c r="E63" s="116">
        <v>6</v>
      </c>
      <c r="F63" s="157"/>
      <c r="G63" s="116">
        <v>6</v>
      </c>
      <c r="H63" s="157"/>
      <c r="I63" s="116">
        <v>6</v>
      </c>
      <c r="J63" s="157"/>
      <c r="K63" s="116">
        <v>6</v>
      </c>
      <c r="L63" s="157"/>
    </row>
    <row r="64" spans="1:16">
      <c r="A64" s="153" t="s">
        <v>98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</row>
    <row r="66" spans="1:12">
      <c r="A66" s="117" t="s">
        <v>130</v>
      </c>
    </row>
    <row r="67" spans="1:12" ht="13.5" customHeight="1">
      <c r="A67" s="168" t="s">
        <v>11</v>
      </c>
      <c r="B67" s="168" t="s">
        <v>9</v>
      </c>
      <c r="C67" s="108" t="s">
        <v>0</v>
      </c>
      <c r="D67" s="168" t="s">
        <v>47</v>
      </c>
      <c r="E67" s="107" t="s">
        <v>3</v>
      </c>
      <c r="F67" s="168" t="s">
        <v>47</v>
      </c>
      <c r="G67" s="107" t="s">
        <v>72</v>
      </c>
      <c r="H67" s="168" t="s">
        <v>47</v>
      </c>
      <c r="I67" s="107" t="s">
        <v>73</v>
      </c>
      <c r="J67" s="168" t="s">
        <v>47</v>
      </c>
      <c r="K67" s="107" t="s">
        <v>1</v>
      </c>
      <c r="L67" s="168" t="s">
        <v>47</v>
      </c>
    </row>
    <row r="68" spans="1:12">
      <c r="A68" s="168"/>
      <c r="B68" s="168"/>
      <c r="C68" s="109">
        <v>50</v>
      </c>
      <c r="D68" s="168"/>
      <c r="E68" s="109">
        <v>150</v>
      </c>
      <c r="F68" s="168"/>
      <c r="G68" s="109">
        <v>1125</v>
      </c>
      <c r="H68" s="168"/>
      <c r="I68" s="109">
        <v>7500</v>
      </c>
      <c r="J68" s="168"/>
      <c r="K68" s="109">
        <v>18750</v>
      </c>
      <c r="L68" s="168"/>
    </row>
    <row r="69" spans="1:12">
      <c r="A69" s="168"/>
      <c r="B69" s="168"/>
      <c r="C69" s="110" t="s">
        <v>6</v>
      </c>
      <c r="D69" s="168"/>
      <c r="E69" s="110" t="s">
        <v>6</v>
      </c>
      <c r="F69" s="168"/>
      <c r="G69" s="110" t="s">
        <v>6</v>
      </c>
      <c r="H69" s="168"/>
      <c r="I69" s="110" t="s">
        <v>6</v>
      </c>
      <c r="J69" s="168"/>
      <c r="K69" s="110" t="s">
        <v>6</v>
      </c>
      <c r="L69" s="168"/>
    </row>
    <row r="70" spans="1:12">
      <c r="A70" s="161">
        <v>45774</v>
      </c>
      <c r="B70" s="165">
        <v>3</v>
      </c>
      <c r="C70" s="111">
        <v>54.781999999999996</v>
      </c>
      <c r="D70" s="112">
        <v>9.6</v>
      </c>
      <c r="E70" s="111">
        <v>168.274</v>
      </c>
      <c r="F70" s="112">
        <v>12.2</v>
      </c>
      <c r="G70" s="111" t="s">
        <v>189</v>
      </c>
      <c r="H70" s="112">
        <v>26.2</v>
      </c>
      <c r="I70" s="111" t="s">
        <v>190</v>
      </c>
      <c r="J70" s="112">
        <v>30.6</v>
      </c>
      <c r="K70" s="111" t="s">
        <v>191</v>
      </c>
      <c r="L70" s="112">
        <v>25.9</v>
      </c>
    </row>
    <row r="71" spans="1:12">
      <c r="A71" s="161"/>
      <c r="B71" s="166"/>
      <c r="C71" s="111">
        <v>50.253</v>
      </c>
      <c r="D71" s="112">
        <v>0.5</v>
      </c>
      <c r="E71" s="111" t="s">
        <v>192</v>
      </c>
      <c r="F71" s="112">
        <v>17</v>
      </c>
      <c r="G71" s="111" t="s">
        <v>193</v>
      </c>
      <c r="H71" s="112">
        <v>25.1</v>
      </c>
      <c r="I71" s="111" t="s">
        <v>194</v>
      </c>
      <c r="J71" s="112">
        <v>26.3</v>
      </c>
      <c r="K71" s="111" t="s">
        <v>195</v>
      </c>
      <c r="L71" s="112">
        <v>24</v>
      </c>
    </row>
    <row r="72" spans="1:12">
      <c r="A72" s="161"/>
      <c r="B72" s="166"/>
      <c r="C72" s="111">
        <v>48.363</v>
      </c>
      <c r="D72" s="112">
        <v>-3.3</v>
      </c>
      <c r="E72" s="111">
        <v>169.97900000000001</v>
      </c>
      <c r="F72" s="112">
        <v>13.3</v>
      </c>
      <c r="G72" s="111" t="s">
        <v>196</v>
      </c>
      <c r="H72" s="112">
        <v>23.3</v>
      </c>
      <c r="I72" s="111" t="s">
        <v>197</v>
      </c>
      <c r="J72" s="112">
        <v>29.7</v>
      </c>
      <c r="K72" s="111" t="s">
        <v>198</v>
      </c>
      <c r="L72" s="112">
        <v>27.1</v>
      </c>
    </row>
    <row r="73" spans="1:12">
      <c r="A73" s="161"/>
      <c r="B73" s="166"/>
      <c r="C73" s="111" t="s">
        <v>146</v>
      </c>
      <c r="D73" s="112">
        <v>-28.9</v>
      </c>
      <c r="E73" s="111">
        <v>132.333</v>
      </c>
      <c r="F73" s="112">
        <v>-11.8</v>
      </c>
      <c r="G73" s="111">
        <v>1085.4649999999999</v>
      </c>
      <c r="H73" s="112">
        <v>-3.5</v>
      </c>
      <c r="I73" s="111">
        <v>7522.732</v>
      </c>
      <c r="J73" s="112">
        <v>0.3</v>
      </c>
      <c r="K73" s="111">
        <v>18427.243999999999</v>
      </c>
      <c r="L73" s="112">
        <v>-1.7</v>
      </c>
    </row>
    <row r="74" spans="1:12">
      <c r="A74" s="161"/>
      <c r="B74" s="166"/>
      <c r="C74" s="111" t="s">
        <v>147</v>
      </c>
      <c r="D74" s="112">
        <v>-28.9</v>
      </c>
      <c r="E74" s="111">
        <v>141.03</v>
      </c>
      <c r="F74" s="112">
        <v>-6</v>
      </c>
      <c r="G74" s="111">
        <v>1080.329</v>
      </c>
      <c r="H74" s="112">
        <v>-4</v>
      </c>
      <c r="I74" s="111">
        <v>7600.2690000000002</v>
      </c>
      <c r="J74" s="112">
        <v>1.3</v>
      </c>
      <c r="K74" s="111" t="s">
        <v>199</v>
      </c>
      <c r="L74" s="112">
        <v>20.3</v>
      </c>
    </row>
    <row r="75" spans="1:12">
      <c r="A75" s="161"/>
      <c r="B75" s="167"/>
      <c r="C75" s="111" t="s">
        <v>148</v>
      </c>
      <c r="D75" s="112">
        <v>-35.299999999999997</v>
      </c>
      <c r="E75" s="111">
        <v>128.274</v>
      </c>
      <c r="F75" s="112">
        <v>-14.5</v>
      </c>
      <c r="G75" s="111">
        <v>1078.3710000000001</v>
      </c>
      <c r="H75" s="112">
        <v>-4.0999999999999996</v>
      </c>
      <c r="I75" s="111">
        <v>7554.9080000000004</v>
      </c>
      <c r="J75" s="112">
        <v>0.7</v>
      </c>
      <c r="K75" s="111">
        <v>19379.435000000001</v>
      </c>
      <c r="L75" s="112">
        <v>3.4</v>
      </c>
    </row>
    <row r="76" spans="1:12">
      <c r="A76" s="113" t="s">
        <v>61</v>
      </c>
      <c r="B76" s="158"/>
      <c r="C76" s="114">
        <v>42.808999999999997</v>
      </c>
      <c r="D76" s="155"/>
      <c r="E76" s="114">
        <v>152.57400000000001</v>
      </c>
      <c r="F76" s="155"/>
      <c r="G76" s="114">
        <v>1243.184</v>
      </c>
      <c r="H76" s="155"/>
      <c r="I76" s="114">
        <v>8611.5419999999995</v>
      </c>
      <c r="J76" s="155"/>
      <c r="K76" s="114">
        <v>21841.375</v>
      </c>
      <c r="L76" s="155"/>
    </row>
    <row r="77" spans="1:12">
      <c r="A77" s="113" t="s">
        <v>20</v>
      </c>
      <c r="B77" s="159"/>
      <c r="C77" s="114">
        <v>9.4280000000000008</v>
      </c>
      <c r="D77" s="156"/>
      <c r="E77" s="114">
        <v>21.027999999999999</v>
      </c>
      <c r="F77" s="156"/>
      <c r="G77" s="114">
        <v>177.55500000000001</v>
      </c>
      <c r="H77" s="156"/>
      <c r="I77" s="114">
        <v>1157.8520000000001</v>
      </c>
      <c r="J77" s="156"/>
      <c r="K77" s="114">
        <v>2335.6849999999999</v>
      </c>
      <c r="L77" s="156"/>
    </row>
    <row r="78" spans="1:12">
      <c r="A78" s="113" t="s">
        <v>49</v>
      </c>
      <c r="B78" s="159"/>
      <c r="C78" s="115">
        <v>22</v>
      </c>
      <c r="D78" s="156"/>
      <c r="E78" s="115">
        <v>13.8</v>
      </c>
      <c r="F78" s="156"/>
      <c r="G78" s="115">
        <v>14.3</v>
      </c>
      <c r="H78" s="156"/>
      <c r="I78" s="115">
        <v>13.4</v>
      </c>
      <c r="J78" s="156"/>
      <c r="K78" s="115">
        <v>10.7</v>
      </c>
      <c r="L78" s="156"/>
    </row>
    <row r="79" spans="1:12">
      <c r="A79" s="113" t="s">
        <v>50</v>
      </c>
      <c r="B79" s="159"/>
      <c r="C79" s="115">
        <v>-14.4</v>
      </c>
      <c r="D79" s="156"/>
      <c r="E79" s="115">
        <v>1.7</v>
      </c>
      <c r="F79" s="156"/>
      <c r="G79" s="115">
        <v>10.5</v>
      </c>
      <c r="H79" s="156"/>
      <c r="I79" s="115">
        <v>14.8</v>
      </c>
      <c r="J79" s="156"/>
      <c r="K79" s="115">
        <v>16.5</v>
      </c>
      <c r="L79" s="156"/>
    </row>
    <row r="80" spans="1:12">
      <c r="A80" s="113" t="s">
        <v>5</v>
      </c>
      <c r="B80" s="160"/>
      <c r="C80" s="116">
        <v>6</v>
      </c>
      <c r="D80" s="157"/>
      <c r="E80" s="116">
        <v>6</v>
      </c>
      <c r="F80" s="157"/>
      <c r="G80" s="116">
        <v>6</v>
      </c>
      <c r="H80" s="157"/>
      <c r="I80" s="116">
        <v>6</v>
      </c>
      <c r="J80" s="157"/>
      <c r="K80" s="116">
        <v>6</v>
      </c>
      <c r="L80" s="157"/>
    </row>
    <row r="81" spans="1:12">
      <c r="A81" s="161">
        <v>45776</v>
      </c>
      <c r="B81" s="162">
        <v>4</v>
      </c>
      <c r="C81" s="111">
        <v>54.832000000000001</v>
      </c>
      <c r="D81" s="112">
        <v>9.6999999999999993</v>
      </c>
      <c r="E81" s="111">
        <v>152.49600000000001</v>
      </c>
      <c r="F81" s="112">
        <v>1.7</v>
      </c>
      <c r="G81" s="111">
        <v>1106.634</v>
      </c>
      <c r="H81" s="112">
        <v>-1.6</v>
      </c>
      <c r="I81" s="111">
        <v>7363.393</v>
      </c>
      <c r="J81" s="112">
        <v>-1.8</v>
      </c>
      <c r="K81" s="111">
        <v>18352.809000000001</v>
      </c>
      <c r="L81" s="112">
        <v>-2.1</v>
      </c>
    </row>
    <row r="82" spans="1:12">
      <c r="A82" s="161"/>
      <c r="B82" s="163"/>
      <c r="C82" s="111">
        <v>53.314999999999998</v>
      </c>
      <c r="D82" s="112">
        <v>6.6</v>
      </c>
      <c r="E82" s="111">
        <v>151.959</v>
      </c>
      <c r="F82" s="112">
        <v>1.3</v>
      </c>
      <c r="G82" s="111">
        <v>1067.5840000000001</v>
      </c>
      <c r="H82" s="112">
        <v>-5.0999999999999996</v>
      </c>
      <c r="I82" s="111">
        <v>7398.9780000000001</v>
      </c>
      <c r="J82" s="112">
        <v>-1.3</v>
      </c>
      <c r="K82" s="111">
        <v>18605.162</v>
      </c>
      <c r="L82" s="112">
        <v>-0.8</v>
      </c>
    </row>
    <row r="83" spans="1:12">
      <c r="A83" s="161"/>
      <c r="B83" s="163"/>
      <c r="C83" s="111">
        <v>51.807000000000002</v>
      </c>
      <c r="D83" s="112">
        <v>3.6</v>
      </c>
      <c r="E83" s="111">
        <v>138.90100000000001</v>
      </c>
      <c r="F83" s="112">
        <v>-7.4</v>
      </c>
      <c r="G83" s="111">
        <v>1069.5930000000001</v>
      </c>
      <c r="H83" s="112">
        <v>-4.9000000000000004</v>
      </c>
      <c r="I83" s="111">
        <v>7105.7039999999997</v>
      </c>
      <c r="J83" s="112">
        <v>-5.3</v>
      </c>
      <c r="K83" s="111">
        <v>18312.637999999999</v>
      </c>
      <c r="L83" s="112">
        <v>-2.2999999999999998</v>
      </c>
    </row>
    <row r="84" spans="1:12">
      <c r="A84" s="161"/>
      <c r="B84" s="163"/>
      <c r="C84" s="111">
        <v>46.219000000000001</v>
      </c>
      <c r="D84" s="112">
        <v>-7.6</v>
      </c>
      <c r="E84" s="111" t="s">
        <v>200</v>
      </c>
      <c r="F84" s="112">
        <v>-21</v>
      </c>
      <c r="G84" s="111" t="s">
        <v>201</v>
      </c>
      <c r="H84" s="112">
        <v>-22.6</v>
      </c>
      <c r="I84" s="111" t="s">
        <v>202</v>
      </c>
      <c r="J84" s="112">
        <v>-21.3</v>
      </c>
      <c r="K84" s="111" t="s">
        <v>203</v>
      </c>
      <c r="L84" s="112">
        <v>-15.8</v>
      </c>
    </row>
    <row r="85" spans="1:12">
      <c r="A85" s="161"/>
      <c r="B85" s="163"/>
      <c r="C85" s="111">
        <v>45.984000000000002</v>
      </c>
      <c r="D85" s="112">
        <v>-8</v>
      </c>
      <c r="E85" s="111" t="s">
        <v>204</v>
      </c>
      <c r="F85" s="112">
        <v>-19</v>
      </c>
      <c r="G85" s="111" t="s">
        <v>205</v>
      </c>
      <c r="H85" s="112">
        <v>-20.6</v>
      </c>
      <c r="I85" s="111" t="s">
        <v>206</v>
      </c>
      <c r="J85" s="112">
        <v>-24.3</v>
      </c>
      <c r="K85" s="111">
        <v>17135.472000000002</v>
      </c>
      <c r="L85" s="112">
        <v>-8.6</v>
      </c>
    </row>
    <row r="86" spans="1:12">
      <c r="A86" s="161"/>
      <c r="B86" s="164"/>
      <c r="C86" s="111">
        <v>46.576999999999998</v>
      </c>
      <c r="D86" s="112">
        <v>-6.8</v>
      </c>
      <c r="E86" s="111" t="s">
        <v>207</v>
      </c>
      <c r="F86" s="112">
        <v>-20.8</v>
      </c>
      <c r="G86" s="111" t="s">
        <v>208</v>
      </c>
      <c r="H86" s="112">
        <v>-22.4</v>
      </c>
      <c r="I86" s="111" t="s">
        <v>209</v>
      </c>
      <c r="J86" s="112">
        <v>-20.3</v>
      </c>
      <c r="K86" s="111" t="s">
        <v>210</v>
      </c>
      <c r="L86" s="112">
        <v>-20.8</v>
      </c>
    </row>
    <row r="87" spans="1:12">
      <c r="A87" s="113" t="s">
        <v>61</v>
      </c>
      <c r="B87" s="158"/>
      <c r="C87" s="114">
        <v>49.789000000000001</v>
      </c>
      <c r="D87" s="155"/>
      <c r="E87" s="114">
        <v>133.70500000000001</v>
      </c>
      <c r="F87" s="155"/>
      <c r="G87" s="114">
        <v>979.96900000000005</v>
      </c>
      <c r="H87" s="155"/>
      <c r="I87" s="114">
        <v>6571.5910000000003</v>
      </c>
      <c r="J87" s="155"/>
      <c r="K87" s="114">
        <v>17176.303</v>
      </c>
      <c r="L87" s="155"/>
    </row>
    <row r="88" spans="1:12">
      <c r="A88" s="113" t="s">
        <v>20</v>
      </c>
      <c r="B88" s="159"/>
      <c r="C88" s="114">
        <v>3.9870000000000001</v>
      </c>
      <c r="D88" s="156"/>
      <c r="E88" s="114">
        <v>16.207999999999998</v>
      </c>
      <c r="F88" s="156"/>
      <c r="G88" s="114">
        <v>112.107</v>
      </c>
      <c r="H88" s="156"/>
      <c r="I88" s="114">
        <v>798.83199999999999</v>
      </c>
      <c r="J88" s="156"/>
      <c r="K88" s="114">
        <v>1549.4949999999999</v>
      </c>
      <c r="L88" s="156"/>
    </row>
    <row r="89" spans="1:12">
      <c r="A89" s="113" t="s">
        <v>94</v>
      </c>
      <c r="B89" s="159"/>
      <c r="C89" s="115">
        <v>8</v>
      </c>
      <c r="D89" s="156"/>
      <c r="E89" s="115">
        <v>12.1</v>
      </c>
      <c r="F89" s="156"/>
      <c r="G89" s="115">
        <v>11.4</v>
      </c>
      <c r="H89" s="156"/>
      <c r="I89" s="115">
        <v>12.2</v>
      </c>
      <c r="J89" s="156"/>
      <c r="K89" s="115">
        <v>9</v>
      </c>
      <c r="L89" s="156"/>
    </row>
    <row r="90" spans="1:12">
      <c r="A90" s="113" t="s">
        <v>95</v>
      </c>
      <c r="B90" s="159"/>
      <c r="C90" s="115">
        <v>-0.4</v>
      </c>
      <c r="D90" s="156"/>
      <c r="E90" s="115">
        <v>-10.9</v>
      </c>
      <c r="F90" s="156"/>
      <c r="G90" s="115">
        <v>-12.9</v>
      </c>
      <c r="H90" s="156"/>
      <c r="I90" s="115">
        <v>-12.4</v>
      </c>
      <c r="J90" s="156"/>
      <c r="K90" s="115">
        <v>-8.4</v>
      </c>
      <c r="L90" s="156"/>
    </row>
    <row r="91" spans="1:12">
      <c r="A91" s="113" t="s">
        <v>5</v>
      </c>
      <c r="B91" s="160"/>
      <c r="C91" s="116">
        <v>6</v>
      </c>
      <c r="D91" s="157"/>
      <c r="E91" s="116">
        <v>6</v>
      </c>
      <c r="F91" s="157"/>
      <c r="G91" s="116">
        <v>6</v>
      </c>
      <c r="H91" s="157"/>
      <c r="I91" s="116">
        <v>6</v>
      </c>
      <c r="J91" s="157"/>
      <c r="K91" s="116">
        <v>6</v>
      </c>
      <c r="L91" s="157"/>
    </row>
    <row r="92" spans="1:12">
      <c r="A92" s="161">
        <v>45786</v>
      </c>
      <c r="B92" s="162">
        <v>7</v>
      </c>
      <c r="C92" s="111">
        <v>49.326000000000001</v>
      </c>
      <c r="D92" s="112">
        <v>-1.3</v>
      </c>
      <c r="E92" s="111" t="s">
        <v>211</v>
      </c>
      <c r="F92" s="112">
        <v>-25.6</v>
      </c>
      <c r="G92" s="111">
        <v>1276.049</v>
      </c>
      <c r="H92" s="112">
        <v>13.4</v>
      </c>
      <c r="I92" s="111">
        <v>7765.0410000000002</v>
      </c>
      <c r="J92" s="112">
        <v>3.5</v>
      </c>
      <c r="K92" s="111">
        <v>17563.170999999998</v>
      </c>
      <c r="L92" s="112">
        <v>-6.3</v>
      </c>
    </row>
    <row r="93" spans="1:12">
      <c r="A93" s="161"/>
      <c r="B93" s="163"/>
      <c r="C93" s="111">
        <v>48.526000000000003</v>
      </c>
      <c r="D93" s="112">
        <v>-2.9</v>
      </c>
      <c r="E93" s="111" t="s">
        <v>212</v>
      </c>
      <c r="F93" s="112">
        <v>-18.3</v>
      </c>
      <c r="G93" s="111">
        <v>1270.348</v>
      </c>
      <c r="H93" s="112">
        <v>12.9</v>
      </c>
      <c r="I93" s="111">
        <v>8212.6010000000006</v>
      </c>
      <c r="J93" s="112">
        <v>9.5</v>
      </c>
      <c r="K93" s="111">
        <v>19013.402999999998</v>
      </c>
      <c r="L93" s="112">
        <v>1.4</v>
      </c>
    </row>
    <row r="94" spans="1:12">
      <c r="A94" s="161"/>
      <c r="B94" s="163"/>
      <c r="C94" s="111">
        <v>50.32</v>
      </c>
      <c r="D94" s="112">
        <v>0.6</v>
      </c>
      <c r="E94" s="111" t="s">
        <v>213</v>
      </c>
      <c r="F94" s="112">
        <v>-22.9</v>
      </c>
      <c r="G94" s="111" t="s">
        <v>214</v>
      </c>
      <c r="H94" s="112">
        <v>15.9</v>
      </c>
      <c r="I94" s="111">
        <v>7875.4229999999998</v>
      </c>
      <c r="J94" s="112">
        <v>5</v>
      </c>
      <c r="K94" s="111">
        <v>19109.37</v>
      </c>
      <c r="L94" s="112">
        <v>1.9</v>
      </c>
    </row>
    <row r="95" spans="1:12">
      <c r="A95" s="161"/>
      <c r="B95" s="163"/>
      <c r="C95" s="111">
        <v>43.219000000000001</v>
      </c>
      <c r="D95" s="112">
        <v>-13.6</v>
      </c>
      <c r="E95" s="111" t="s">
        <v>215</v>
      </c>
      <c r="F95" s="112">
        <v>-24.8</v>
      </c>
      <c r="G95" s="111">
        <v>1167.127</v>
      </c>
      <c r="H95" s="112">
        <v>3.7</v>
      </c>
      <c r="I95" s="111">
        <v>7441.4740000000002</v>
      </c>
      <c r="J95" s="112">
        <v>-0.8</v>
      </c>
      <c r="K95" s="111">
        <v>18120.882000000001</v>
      </c>
      <c r="L95" s="112">
        <v>-3.4</v>
      </c>
    </row>
    <row r="96" spans="1:12">
      <c r="A96" s="161"/>
      <c r="B96" s="163"/>
      <c r="C96" s="111">
        <v>48.084000000000003</v>
      </c>
      <c r="D96" s="112">
        <v>-3.8</v>
      </c>
      <c r="E96" s="111" t="s">
        <v>216</v>
      </c>
      <c r="F96" s="112">
        <v>-21.3</v>
      </c>
      <c r="G96" s="111">
        <v>1134.376</v>
      </c>
      <c r="H96" s="112">
        <v>0.8</v>
      </c>
      <c r="I96" s="111">
        <v>6770.2020000000002</v>
      </c>
      <c r="J96" s="112">
        <v>-9.6999999999999993</v>
      </c>
      <c r="K96" s="111">
        <v>19766.901999999998</v>
      </c>
      <c r="L96" s="112">
        <v>5.4</v>
      </c>
    </row>
    <row r="97" spans="1:12">
      <c r="A97" s="161"/>
      <c r="B97" s="164"/>
      <c r="C97" s="111">
        <v>48.503999999999998</v>
      </c>
      <c r="D97" s="112">
        <v>-3</v>
      </c>
      <c r="E97" s="111" t="s">
        <v>217</v>
      </c>
      <c r="F97" s="112">
        <v>-31.9</v>
      </c>
      <c r="G97" s="111">
        <v>1171.4349999999999</v>
      </c>
      <c r="H97" s="112">
        <v>4.0999999999999996</v>
      </c>
      <c r="I97" s="111" t="s">
        <v>218</v>
      </c>
      <c r="J97" s="112">
        <v>21</v>
      </c>
      <c r="K97" s="111">
        <v>17758.504000000001</v>
      </c>
      <c r="L97" s="112">
        <v>-5.3</v>
      </c>
    </row>
    <row r="98" spans="1:12">
      <c r="A98" s="113" t="s">
        <v>61</v>
      </c>
      <c r="B98" s="158"/>
      <c r="C98" s="114">
        <v>47.997</v>
      </c>
      <c r="D98" s="155"/>
      <c r="E98" s="114">
        <v>113.782</v>
      </c>
      <c r="F98" s="155"/>
      <c r="G98" s="114">
        <v>1220.568</v>
      </c>
      <c r="H98" s="155"/>
      <c r="I98" s="114">
        <v>7856.9979999999996</v>
      </c>
      <c r="J98" s="155"/>
      <c r="K98" s="114">
        <v>18555.371999999999</v>
      </c>
      <c r="L98" s="155"/>
    </row>
    <row r="99" spans="1:12">
      <c r="A99" s="113" t="s">
        <v>20</v>
      </c>
      <c r="B99" s="159"/>
      <c r="C99" s="114">
        <v>2.4710000000000001</v>
      </c>
      <c r="D99" s="156"/>
      <c r="E99" s="114">
        <v>6.8959999999999999</v>
      </c>
      <c r="F99" s="156"/>
      <c r="G99" s="114">
        <v>71.033000000000001</v>
      </c>
      <c r="H99" s="156"/>
      <c r="I99" s="114">
        <v>771.75599999999997</v>
      </c>
      <c r="J99" s="156"/>
      <c r="K99" s="114">
        <v>870.94799999999998</v>
      </c>
      <c r="L99" s="156"/>
    </row>
    <row r="100" spans="1:12">
      <c r="A100" s="113" t="s">
        <v>94</v>
      </c>
      <c r="B100" s="159"/>
      <c r="C100" s="115">
        <v>5.0999999999999996</v>
      </c>
      <c r="D100" s="156"/>
      <c r="E100" s="115">
        <v>6.1</v>
      </c>
      <c r="F100" s="156"/>
      <c r="G100" s="115">
        <v>5.8</v>
      </c>
      <c r="H100" s="156"/>
      <c r="I100" s="115">
        <v>9.8000000000000007</v>
      </c>
      <c r="J100" s="156"/>
      <c r="K100" s="115">
        <v>4.7</v>
      </c>
      <c r="L100" s="156"/>
    </row>
    <row r="101" spans="1:12">
      <c r="A101" s="113" t="s">
        <v>95</v>
      </c>
      <c r="B101" s="159"/>
      <c r="C101" s="115">
        <v>-4</v>
      </c>
      <c r="D101" s="156"/>
      <c r="E101" s="115">
        <v>-24.1</v>
      </c>
      <c r="F101" s="156"/>
      <c r="G101" s="115">
        <v>8.5</v>
      </c>
      <c r="H101" s="156"/>
      <c r="I101" s="115">
        <v>4.8</v>
      </c>
      <c r="J101" s="156"/>
      <c r="K101" s="115">
        <v>-1</v>
      </c>
      <c r="L101" s="156"/>
    </row>
    <row r="102" spans="1:12">
      <c r="A102" s="113" t="s">
        <v>5</v>
      </c>
      <c r="B102" s="160"/>
      <c r="C102" s="116">
        <v>6</v>
      </c>
      <c r="D102" s="157"/>
      <c r="E102" s="116">
        <v>6</v>
      </c>
      <c r="F102" s="157"/>
      <c r="G102" s="116">
        <v>6</v>
      </c>
      <c r="H102" s="157"/>
      <c r="I102" s="116">
        <v>6</v>
      </c>
      <c r="J102" s="157"/>
      <c r="K102" s="116">
        <v>6</v>
      </c>
      <c r="L102" s="157"/>
    </row>
    <row r="103" spans="1:12">
      <c r="A103" s="113" t="s">
        <v>19</v>
      </c>
      <c r="B103" s="158"/>
      <c r="C103" s="114">
        <v>46.865000000000002</v>
      </c>
      <c r="D103" s="155"/>
      <c r="E103" s="114">
        <v>133.35300000000001</v>
      </c>
      <c r="F103" s="155"/>
      <c r="G103" s="114">
        <v>1147.9069999999999</v>
      </c>
      <c r="H103" s="155"/>
      <c r="I103" s="114">
        <v>7680.0439999999999</v>
      </c>
      <c r="J103" s="155"/>
      <c r="K103" s="114">
        <v>19191.017</v>
      </c>
      <c r="L103" s="155"/>
    </row>
    <row r="104" spans="1:12">
      <c r="A104" s="113" t="s">
        <v>21</v>
      </c>
      <c r="B104" s="159"/>
      <c r="C104" s="114">
        <v>6.4720000000000004</v>
      </c>
      <c r="D104" s="156"/>
      <c r="E104" s="114">
        <v>22.065999999999999</v>
      </c>
      <c r="F104" s="156"/>
      <c r="G104" s="114">
        <v>171.68</v>
      </c>
      <c r="H104" s="156"/>
      <c r="I104" s="114">
        <v>1228.05</v>
      </c>
      <c r="J104" s="156"/>
      <c r="K104" s="114">
        <v>2566.752</v>
      </c>
      <c r="L104" s="156"/>
    </row>
    <row r="105" spans="1:12">
      <c r="A105" s="113" t="s">
        <v>96</v>
      </c>
      <c r="B105" s="159"/>
      <c r="C105" s="115">
        <v>13.8</v>
      </c>
      <c r="D105" s="156"/>
      <c r="E105" s="115">
        <v>16.5</v>
      </c>
      <c r="F105" s="156"/>
      <c r="G105" s="115">
        <v>15</v>
      </c>
      <c r="H105" s="156"/>
      <c r="I105" s="115">
        <v>16</v>
      </c>
      <c r="J105" s="156"/>
      <c r="K105" s="115">
        <v>13.4</v>
      </c>
      <c r="L105" s="156"/>
    </row>
    <row r="106" spans="1:12">
      <c r="A106" s="113" t="s">
        <v>97</v>
      </c>
      <c r="B106" s="159"/>
      <c r="C106" s="115">
        <v>-6.3</v>
      </c>
      <c r="D106" s="156"/>
      <c r="E106" s="115">
        <v>-11.1</v>
      </c>
      <c r="F106" s="156"/>
      <c r="G106" s="115">
        <v>2</v>
      </c>
      <c r="H106" s="156"/>
      <c r="I106" s="115">
        <v>2.4</v>
      </c>
      <c r="J106" s="156"/>
      <c r="K106" s="115">
        <v>2.4</v>
      </c>
      <c r="L106" s="156"/>
    </row>
    <row r="107" spans="1:12">
      <c r="A107" s="113" t="s">
        <v>5</v>
      </c>
      <c r="B107" s="160"/>
      <c r="C107" s="116">
        <v>18</v>
      </c>
      <c r="D107" s="157"/>
      <c r="E107" s="116">
        <v>18</v>
      </c>
      <c r="F107" s="157"/>
      <c r="G107" s="116">
        <v>18</v>
      </c>
      <c r="H107" s="157"/>
      <c r="I107" s="116">
        <v>18</v>
      </c>
      <c r="J107" s="157"/>
      <c r="K107" s="116">
        <v>18</v>
      </c>
      <c r="L107" s="157"/>
    </row>
    <row r="108" spans="1:12">
      <c r="A108" s="153" t="s">
        <v>219</v>
      </c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</row>
    <row r="109" spans="1:12">
      <c r="A109" s="117" t="s">
        <v>220</v>
      </c>
    </row>
  </sheetData>
  <mergeCells count="93">
    <mergeCell ref="L59:L63"/>
    <mergeCell ref="L36:L40"/>
    <mergeCell ref="L41:L45"/>
    <mergeCell ref="J14:J18"/>
    <mergeCell ref="L14:L18"/>
    <mergeCell ref="J50:J52"/>
    <mergeCell ref="L50:L52"/>
    <mergeCell ref="A46:L46"/>
    <mergeCell ref="J59:J63"/>
    <mergeCell ref="F59:F63"/>
    <mergeCell ref="D59:D63"/>
    <mergeCell ref="B41:B45"/>
    <mergeCell ref="B36:B40"/>
    <mergeCell ref="B59:B63"/>
    <mergeCell ref="A30:A35"/>
    <mergeCell ref="B30:B35"/>
    <mergeCell ref="J5:J7"/>
    <mergeCell ref="J36:J40"/>
    <mergeCell ref="J25:J29"/>
    <mergeCell ref="J41:J45"/>
    <mergeCell ref="L5:L7"/>
    <mergeCell ref="L25:L29"/>
    <mergeCell ref="A2:E2"/>
    <mergeCell ref="B25:B29"/>
    <mergeCell ref="A5:A7"/>
    <mergeCell ref="B5:B7"/>
    <mergeCell ref="D5:D7"/>
    <mergeCell ref="D25:D29"/>
    <mergeCell ref="A19:A24"/>
    <mergeCell ref="B19:B24"/>
    <mergeCell ref="A8:A13"/>
    <mergeCell ref="B8:B13"/>
    <mergeCell ref="B14:B18"/>
    <mergeCell ref="A53:A58"/>
    <mergeCell ref="B53:B58"/>
    <mergeCell ref="H41:H45"/>
    <mergeCell ref="D41:D45"/>
    <mergeCell ref="F41:F45"/>
    <mergeCell ref="A50:A52"/>
    <mergeCell ref="B50:B52"/>
    <mergeCell ref="H5:H7"/>
    <mergeCell ref="H59:H63"/>
    <mergeCell ref="F5:F7"/>
    <mergeCell ref="D36:D40"/>
    <mergeCell ref="F36:F40"/>
    <mergeCell ref="H36:H40"/>
    <mergeCell ref="F25:F29"/>
    <mergeCell ref="H25:H29"/>
    <mergeCell ref="D14:D18"/>
    <mergeCell ref="F14:F18"/>
    <mergeCell ref="H14:H18"/>
    <mergeCell ref="D50:D52"/>
    <mergeCell ref="F50:F52"/>
    <mergeCell ref="H50:H52"/>
    <mergeCell ref="J67:J69"/>
    <mergeCell ref="L67:L69"/>
    <mergeCell ref="A67:A69"/>
    <mergeCell ref="B67:B69"/>
    <mergeCell ref="D67:D69"/>
    <mergeCell ref="F67:F69"/>
    <mergeCell ref="H67:H69"/>
    <mergeCell ref="A70:A75"/>
    <mergeCell ref="B70:B75"/>
    <mergeCell ref="B76:B80"/>
    <mergeCell ref="D76:D80"/>
    <mergeCell ref="F76:F80"/>
    <mergeCell ref="H76:H80"/>
    <mergeCell ref="J76:J80"/>
    <mergeCell ref="L76:L80"/>
    <mergeCell ref="A81:A86"/>
    <mergeCell ref="B81:B86"/>
    <mergeCell ref="L98:L102"/>
    <mergeCell ref="B87:B91"/>
    <mergeCell ref="D87:D91"/>
    <mergeCell ref="F87:F91"/>
    <mergeCell ref="H87:H91"/>
    <mergeCell ref="J87:J91"/>
    <mergeCell ref="A64:L64"/>
    <mergeCell ref="L103:L107"/>
    <mergeCell ref="A108:L108"/>
    <mergeCell ref="B103:B107"/>
    <mergeCell ref="D103:D107"/>
    <mergeCell ref="F103:F107"/>
    <mergeCell ref="H103:H107"/>
    <mergeCell ref="J103:J107"/>
    <mergeCell ref="L87:L91"/>
    <mergeCell ref="A92:A97"/>
    <mergeCell ref="B92:B97"/>
    <mergeCell ref="B98:B102"/>
    <mergeCell ref="D98:D102"/>
    <mergeCell ref="F98:F102"/>
    <mergeCell ref="H98:H102"/>
    <mergeCell ref="J98:J102"/>
  </mergeCells>
  <phoneticPr fontId="4" type="noConversion"/>
  <conditionalFormatting sqref="M1:XFD1048576">
    <cfRule type="containsText" dxfId="0" priority="1" operator="containsText" text="#">
      <formula>NOT(ISERROR(SEARCH("#",M1)))</formula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55" orientation="portrait" r:id="rId1"/>
  <headerFooter>
    <oddHeader>&amp;CSS24546BV02生物分析方法学验证数据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N45"/>
  <sheetViews>
    <sheetView zoomScaleNormal="100" zoomScaleSheetLayoutView="115" workbookViewId="0">
      <selection activeCell="J29" sqref="J29"/>
    </sheetView>
  </sheetViews>
  <sheetFormatPr defaultColWidth="8.875" defaultRowHeight="15.75" customHeight="1"/>
  <cols>
    <col min="1" max="1" width="13.625" style="45" customWidth="1"/>
    <col min="2" max="2" width="13.5" style="45" customWidth="1"/>
    <col min="3" max="3" width="17.875" style="45" customWidth="1"/>
    <col min="4" max="4" width="13.5" style="60" customWidth="1"/>
    <col min="5" max="5" width="13.125" style="45" customWidth="1"/>
    <col min="6" max="6" width="13.5" style="45" customWidth="1"/>
    <col min="7" max="7" width="12.875" style="60" customWidth="1"/>
    <col min="8" max="9" width="11.75" style="45" customWidth="1"/>
    <col min="10" max="10" width="10.875" style="60" customWidth="1"/>
    <col min="11" max="11" width="30.875" style="45" bestFit="1" customWidth="1"/>
    <col min="12" max="12" width="13.375" style="45" customWidth="1"/>
    <col min="13" max="16384" width="8.875" style="45"/>
  </cols>
  <sheetData>
    <row r="1" spans="1:14" ht="15.75" customHeight="1">
      <c r="K1" s="61"/>
      <c r="L1" s="61"/>
    </row>
    <row r="2" spans="1:14" ht="15.75" customHeight="1">
      <c r="A2" s="45" t="s">
        <v>105</v>
      </c>
      <c r="K2" s="61"/>
      <c r="L2" s="61"/>
    </row>
    <row r="3" spans="1:14" ht="15.75" customHeight="1">
      <c r="K3" s="61"/>
      <c r="L3" s="61"/>
    </row>
    <row r="4" spans="1:14" ht="15.75" customHeight="1">
      <c r="A4" s="172" t="s">
        <v>149</v>
      </c>
      <c r="B4" s="173"/>
      <c r="C4" s="173"/>
      <c r="D4" s="173"/>
      <c r="E4" s="173"/>
      <c r="F4" s="173"/>
      <c r="G4" s="173"/>
      <c r="H4" s="173"/>
      <c r="I4" s="173"/>
      <c r="J4" s="174"/>
      <c r="K4" s="61"/>
      <c r="L4" s="61"/>
    </row>
    <row r="5" spans="1:14" ht="15.75" customHeight="1">
      <c r="A5" s="179"/>
      <c r="B5" s="183" t="s">
        <v>3</v>
      </c>
      <c r="C5" s="183"/>
      <c r="D5" s="183"/>
      <c r="E5" s="180" t="s">
        <v>2</v>
      </c>
      <c r="F5" s="181"/>
      <c r="G5" s="182"/>
      <c r="H5" s="180" t="s">
        <v>1</v>
      </c>
      <c r="I5" s="181"/>
      <c r="J5" s="182"/>
      <c r="K5" s="61"/>
      <c r="L5" s="61"/>
    </row>
    <row r="6" spans="1:14" ht="29.45" customHeight="1">
      <c r="A6" s="179"/>
      <c r="B6" s="63" t="s">
        <v>106</v>
      </c>
      <c r="C6" s="63" t="s">
        <v>85</v>
      </c>
      <c r="D6" s="64" t="s">
        <v>48</v>
      </c>
      <c r="E6" s="63" t="s">
        <v>86</v>
      </c>
      <c r="F6" s="63" t="s">
        <v>85</v>
      </c>
      <c r="G6" s="64" t="s">
        <v>48</v>
      </c>
      <c r="H6" s="62" t="s">
        <v>87</v>
      </c>
      <c r="I6" s="62" t="s">
        <v>88</v>
      </c>
      <c r="J6" s="64" t="s">
        <v>48</v>
      </c>
      <c r="K6" s="61"/>
      <c r="L6" s="61"/>
    </row>
    <row r="7" spans="1:14" ht="15.75" customHeight="1">
      <c r="A7" s="62">
        <v>1</v>
      </c>
      <c r="B7" s="65">
        <v>2.0324999999999999E-2</v>
      </c>
      <c r="C7" s="65">
        <v>2.2832000000000002E-2</v>
      </c>
      <c r="D7" s="66">
        <f>ROUND(B7/C13*100,1)</f>
        <v>90.9</v>
      </c>
      <c r="E7" s="65">
        <v>1.0841879999999999</v>
      </c>
      <c r="F7" s="65">
        <v>1.278119</v>
      </c>
      <c r="G7" s="66">
        <f>ROUND(E7/F13*100,1)</f>
        <v>85.7</v>
      </c>
      <c r="H7" s="65">
        <v>2.8301419999999999</v>
      </c>
      <c r="I7" s="65">
        <v>3.0279050000000001</v>
      </c>
      <c r="J7" s="66">
        <f>ROUND(H7/I13*100,1)</f>
        <v>93.8</v>
      </c>
      <c r="K7" s="61"/>
      <c r="L7" s="61"/>
    </row>
    <row r="8" spans="1:14" ht="15.75" customHeight="1">
      <c r="A8" s="62">
        <v>2</v>
      </c>
      <c r="B8" s="65">
        <v>1.9685999999999999E-2</v>
      </c>
      <c r="C8" s="65">
        <v>2.2001E-2</v>
      </c>
      <c r="D8" s="66">
        <f>ROUND(B8/C13*100,1)</f>
        <v>88</v>
      </c>
      <c r="E8" s="65">
        <v>1.063852</v>
      </c>
      <c r="F8" s="65">
        <v>1.2387030000000001</v>
      </c>
      <c r="G8" s="66">
        <f>ROUND(E8/F13*100,1)</f>
        <v>84.1</v>
      </c>
      <c r="H8" s="65">
        <v>2.7673760000000001</v>
      </c>
      <c r="I8" s="65">
        <v>3.0167090000000001</v>
      </c>
      <c r="J8" s="66">
        <f>ROUND(H8/I13*100,1)</f>
        <v>91.7</v>
      </c>
      <c r="K8" s="61"/>
      <c r="L8" s="61"/>
    </row>
    <row r="9" spans="1:14" ht="15.75" customHeight="1">
      <c r="A9" s="62">
        <v>3</v>
      </c>
      <c r="B9" s="65">
        <v>1.9761999999999998E-2</v>
      </c>
      <c r="C9" s="65">
        <v>2.2360000000000001E-2</v>
      </c>
      <c r="D9" s="66">
        <f>ROUND(B9/C13*100,1)</f>
        <v>88.4</v>
      </c>
      <c r="E9" s="65">
        <v>1.062046</v>
      </c>
      <c r="F9" s="65">
        <v>1.289833</v>
      </c>
      <c r="G9" s="66">
        <f>ROUND(E9/F13*100,1)</f>
        <v>83.9</v>
      </c>
      <c r="H9" s="65">
        <v>2.7166320000000002</v>
      </c>
      <c r="I9" s="65">
        <v>2.9420500000000001</v>
      </c>
      <c r="J9" s="66">
        <f>ROUND(H9/I13*100,1)</f>
        <v>90</v>
      </c>
      <c r="K9" s="61"/>
      <c r="L9" s="61"/>
    </row>
    <row r="10" spans="1:14" ht="15.75" customHeight="1">
      <c r="A10" s="62">
        <v>4</v>
      </c>
      <c r="B10" s="65">
        <v>1.9782999999999999E-2</v>
      </c>
      <c r="C10" s="65">
        <v>2.2313E-2</v>
      </c>
      <c r="D10" s="66">
        <f>ROUND(B10/C13*100,1)</f>
        <v>88.5</v>
      </c>
      <c r="E10" s="65">
        <v>1.0351159999999999</v>
      </c>
      <c r="F10" s="65">
        <v>1.2709680000000001</v>
      </c>
      <c r="G10" s="66">
        <f>ROUND(E10/F13*100,1)</f>
        <v>81.8</v>
      </c>
      <c r="H10" s="65">
        <v>2.8776320000000002</v>
      </c>
      <c r="I10" s="65">
        <v>2.952032</v>
      </c>
      <c r="J10" s="66">
        <f>ROUND(H10/I13*100,1)</f>
        <v>95.3</v>
      </c>
      <c r="K10" s="61"/>
      <c r="L10" s="61"/>
    </row>
    <row r="11" spans="1:14" ht="15.75" customHeight="1">
      <c r="A11" s="62">
        <v>5</v>
      </c>
      <c r="B11" s="65">
        <v>1.9557999999999999E-2</v>
      </c>
      <c r="C11" s="65">
        <v>2.2297999999999998E-2</v>
      </c>
      <c r="D11" s="66">
        <f>ROUND(B11/C13*100,1)</f>
        <v>87.4</v>
      </c>
      <c r="E11" s="65">
        <v>1.064824</v>
      </c>
      <c r="F11" s="65">
        <v>1.2590749999999999</v>
      </c>
      <c r="G11" s="66">
        <f>ROUND(E11/F13*100,1)</f>
        <v>84.2</v>
      </c>
      <c r="H11" s="65">
        <v>2.3560469999999998</v>
      </c>
      <c r="I11" s="65">
        <v>3.0312610000000002</v>
      </c>
      <c r="J11" s="66">
        <f>ROUND(H11/I13*100,1)</f>
        <v>78.099999999999994</v>
      </c>
      <c r="K11" s="61"/>
      <c r="L11" s="61"/>
    </row>
    <row r="12" spans="1:14" ht="15.75" customHeight="1">
      <c r="A12" s="62">
        <v>6</v>
      </c>
      <c r="B12" s="65">
        <v>1.9494999999999998E-2</v>
      </c>
      <c r="C12" s="65">
        <v>2.2388000000000002E-2</v>
      </c>
      <c r="D12" s="66">
        <f>ROUND(B12/C13*100,1)</f>
        <v>87.2</v>
      </c>
      <c r="E12" s="65">
        <v>1.0676220000000001</v>
      </c>
      <c r="F12" s="65">
        <v>1.2552410000000001</v>
      </c>
      <c r="G12" s="66">
        <f>ROUND(E12/F13*100,1)</f>
        <v>84.4</v>
      </c>
      <c r="H12" s="65">
        <v>2.6416300000000001</v>
      </c>
      <c r="I12" s="65">
        <v>3.1405249999999998</v>
      </c>
      <c r="J12" s="66">
        <f>ROUND(H12/I13*100,1)</f>
        <v>87.5</v>
      </c>
      <c r="K12" s="61"/>
      <c r="L12" s="61"/>
    </row>
    <row r="13" spans="1:14" ht="15.75" customHeight="1">
      <c r="A13" s="62" t="s">
        <v>89</v>
      </c>
      <c r="B13" s="67">
        <f>ROUND(AVERAGEA(B7:B12),6)</f>
        <v>1.9768000000000001E-2</v>
      </c>
      <c r="C13" s="67">
        <f>ROUND(AVERAGEA(C7:C12),6)</f>
        <v>2.2364999999999999E-2</v>
      </c>
      <c r="D13" s="64">
        <f>ROUND(AVERAGE(D7:D12),1)</f>
        <v>88.4</v>
      </c>
      <c r="E13" s="67">
        <f>ROUND(AVERAGEA(E7:E12),6)</f>
        <v>1.0629409999999999</v>
      </c>
      <c r="F13" s="67">
        <f>ROUND(AVERAGEA(F7:F12),6)</f>
        <v>1.265323</v>
      </c>
      <c r="G13" s="64">
        <f>ROUND(AVERAGE(G7:G12),1)</f>
        <v>84</v>
      </c>
      <c r="H13" s="67">
        <f>ROUND(AVERAGEA(H7:H12),6)</f>
        <v>2.6982430000000002</v>
      </c>
      <c r="I13" s="67">
        <f>ROUND(AVERAGEA(I7:I12),6)</f>
        <v>3.0184139999999999</v>
      </c>
      <c r="J13" s="64">
        <f>ROUND(AVERAGE(J7:J12),1)</f>
        <v>89.4</v>
      </c>
      <c r="K13" s="61"/>
      <c r="L13" s="61"/>
    </row>
    <row r="14" spans="1:14" s="60" customFormat="1" ht="15.75" customHeight="1">
      <c r="A14" s="64" t="s">
        <v>4</v>
      </c>
      <c r="B14" s="175"/>
      <c r="C14" s="176"/>
      <c r="D14" s="64">
        <f>ROUND(STDEV(D7:D12),1)</f>
        <v>1.3</v>
      </c>
      <c r="E14" s="175"/>
      <c r="F14" s="176"/>
      <c r="G14" s="64">
        <f>ROUND(STDEV(G7:G12),1)</f>
        <v>1.3</v>
      </c>
      <c r="H14" s="175"/>
      <c r="I14" s="176"/>
      <c r="J14" s="64">
        <f>ROUND(STDEV(J7:J12),1)</f>
        <v>6.2</v>
      </c>
      <c r="K14" s="61"/>
      <c r="L14" s="61"/>
      <c r="M14" s="45"/>
      <c r="N14" s="45"/>
    </row>
    <row r="15" spans="1:14" s="60" customFormat="1" ht="15.75" customHeight="1">
      <c r="A15" s="64" t="s">
        <v>44</v>
      </c>
      <c r="B15" s="177"/>
      <c r="C15" s="178"/>
      <c r="D15" s="64">
        <f>ROUND(D14/D13*100,1)</f>
        <v>1.5</v>
      </c>
      <c r="E15" s="177"/>
      <c r="F15" s="178"/>
      <c r="G15" s="64">
        <f>ROUND(G14/G13*100,1)</f>
        <v>1.5</v>
      </c>
      <c r="H15" s="177"/>
      <c r="I15" s="178"/>
      <c r="J15" s="64">
        <f>ROUND(J14/J13*100,1)</f>
        <v>6.9</v>
      </c>
      <c r="K15" s="61"/>
      <c r="L15" s="61"/>
      <c r="M15" s="45"/>
      <c r="N15" s="45"/>
    </row>
    <row r="16" spans="1:14" s="60" customFormat="1" ht="15.75" customHeight="1">
      <c r="A16" s="68" t="s">
        <v>90</v>
      </c>
      <c r="B16" s="170">
        <f>ROUND(AVERAGE(D13,G13,J13),1)</f>
        <v>87.3</v>
      </c>
      <c r="C16" s="171"/>
      <c r="D16" s="171"/>
      <c r="E16" s="171"/>
      <c r="F16" s="171"/>
      <c r="G16" s="171"/>
      <c r="H16" s="171"/>
      <c r="I16" s="171"/>
      <c r="J16" s="171"/>
      <c r="K16" s="61"/>
      <c r="L16" s="61"/>
      <c r="M16" s="45"/>
      <c r="N16" s="45"/>
    </row>
    <row r="17" spans="1:14" s="60" customFormat="1" ht="15.75" customHeight="1">
      <c r="A17" s="68" t="s">
        <v>91</v>
      </c>
      <c r="B17" s="170">
        <f>ROUND(STDEV(D13,G13,J13)/B16*100,1)</f>
        <v>3.3</v>
      </c>
      <c r="C17" s="171"/>
      <c r="D17" s="171"/>
      <c r="E17" s="171"/>
      <c r="F17" s="171"/>
      <c r="G17" s="171"/>
      <c r="H17" s="171"/>
      <c r="I17" s="171"/>
      <c r="J17" s="171"/>
      <c r="K17" s="61"/>
      <c r="L17" s="61"/>
      <c r="M17" s="45"/>
      <c r="N17" s="45"/>
    </row>
    <row r="18" spans="1:14" ht="15.75" customHeight="1">
      <c r="B18" s="70"/>
      <c r="C18" s="51"/>
      <c r="D18" s="71"/>
      <c r="E18" s="51"/>
      <c r="F18" s="51"/>
      <c r="G18" s="71"/>
      <c r="K18" s="61"/>
      <c r="L18" s="61"/>
    </row>
    <row r="19" spans="1:14" ht="15.75" customHeight="1">
      <c r="B19"/>
      <c r="C19" s="51"/>
      <c r="D19" s="71"/>
      <c r="E19"/>
      <c r="F19" s="51"/>
      <c r="G19" s="71"/>
      <c r="H19"/>
      <c r="I19" s="51"/>
      <c r="K19" s="61"/>
      <c r="L19" s="61"/>
    </row>
    <row r="20" spans="1:14" ht="15.75" customHeight="1">
      <c r="B20"/>
      <c r="C20" s="51"/>
      <c r="D20" s="71"/>
      <c r="E20"/>
      <c r="F20" s="51"/>
      <c r="G20" s="71"/>
      <c r="H20"/>
      <c r="I20" s="51"/>
      <c r="K20" s="61"/>
      <c r="L20" s="61"/>
    </row>
    <row r="21" spans="1:14" ht="15.75" customHeight="1">
      <c r="B21"/>
      <c r="C21" s="51"/>
      <c r="D21" s="71"/>
      <c r="E21"/>
      <c r="F21" s="51"/>
      <c r="G21" s="71"/>
      <c r="H21"/>
      <c r="I21" s="51"/>
      <c r="K21" s="61"/>
      <c r="L21" s="61"/>
    </row>
    <row r="22" spans="1:14" ht="15.75" customHeight="1">
      <c r="B22"/>
      <c r="C22" s="51"/>
      <c r="D22" s="71"/>
      <c r="E22"/>
      <c r="F22" s="51"/>
      <c r="G22" s="71"/>
      <c r="H22"/>
      <c r="I22" s="51"/>
      <c r="K22" s="61"/>
      <c r="L22" s="61"/>
    </row>
    <row r="23" spans="1:14" ht="15.75" customHeight="1">
      <c r="B23"/>
      <c r="C23" s="51"/>
      <c r="D23" s="71"/>
      <c r="E23"/>
      <c r="F23" s="51"/>
      <c r="G23" s="71"/>
      <c r="H23"/>
      <c r="I23" s="51"/>
      <c r="K23" s="61"/>
      <c r="L23" s="61"/>
    </row>
    <row r="24" spans="1:14" ht="15.75" customHeight="1">
      <c r="B24"/>
      <c r="C24" s="51"/>
      <c r="D24" s="71"/>
      <c r="E24"/>
      <c r="F24" s="51"/>
      <c r="G24" s="71"/>
      <c r="H24"/>
      <c r="I24" s="51"/>
      <c r="K24" s="61"/>
      <c r="L24" s="61"/>
    </row>
    <row r="25" spans="1:14" ht="15.75" customHeight="1">
      <c r="B25"/>
      <c r="C25" s="51"/>
      <c r="D25" s="71"/>
      <c r="E25"/>
      <c r="F25" s="51"/>
      <c r="G25" s="71"/>
      <c r="H25"/>
      <c r="I25" s="51"/>
      <c r="K25" s="61"/>
      <c r="L25" s="61"/>
    </row>
    <row r="26" spans="1:14" ht="15.75" customHeight="1">
      <c r="B26"/>
      <c r="C26" s="51"/>
      <c r="D26" s="71"/>
      <c r="E26"/>
      <c r="F26" s="51"/>
      <c r="G26" s="71"/>
      <c r="H26"/>
      <c r="I26" s="51"/>
      <c r="K26" s="61"/>
      <c r="L26" s="61"/>
    </row>
    <row r="27" spans="1:14" ht="15.75" customHeight="1">
      <c r="B27"/>
      <c r="C27" s="51"/>
      <c r="D27" s="71"/>
      <c r="E27"/>
      <c r="F27" s="51"/>
      <c r="G27" s="71"/>
      <c r="H27"/>
      <c r="I27" s="51"/>
      <c r="K27" s="61"/>
      <c r="L27" s="61"/>
    </row>
    <row r="28" spans="1:14" ht="15.75" customHeight="1">
      <c r="B28"/>
      <c r="C28" s="51"/>
      <c r="D28" s="71"/>
      <c r="E28"/>
      <c r="F28" s="51"/>
      <c r="G28" s="71"/>
      <c r="H28"/>
      <c r="I28" s="51"/>
      <c r="K28" s="61"/>
      <c r="L28" s="61"/>
    </row>
    <row r="29" spans="1:14" ht="15.75" customHeight="1">
      <c r="B29"/>
      <c r="C29" s="51"/>
      <c r="D29" s="71"/>
      <c r="E29"/>
      <c r="F29" s="51"/>
      <c r="G29" s="71"/>
      <c r="H29"/>
      <c r="I29" s="51"/>
      <c r="K29" s="61"/>
      <c r="L29" s="61"/>
    </row>
    <row r="30" spans="1:14" ht="15.75" customHeight="1">
      <c r="B30"/>
      <c r="C30" s="51"/>
      <c r="D30" s="71"/>
      <c r="E30"/>
      <c r="F30" s="51"/>
      <c r="G30" s="71"/>
      <c r="H30"/>
      <c r="I30" s="51"/>
      <c r="K30" s="61"/>
      <c r="L30" s="61"/>
    </row>
    <row r="31" spans="1:14" ht="15.75" customHeight="1">
      <c r="C31" s="51"/>
      <c r="D31" s="71"/>
      <c r="F31" s="51"/>
      <c r="G31" s="71"/>
      <c r="K31" s="61"/>
      <c r="L31" s="61"/>
    </row>
    <row r="32" spans="1:14" ht="15.75" customHeight="1">
      <c r="C32" s="51"/>
      <c r="D32" s="71"/>
      <c r="F32" s="51"/>
      <c r="G32" s="71"/>
      <c r="K32" s="61"/>
      <c r="L32" s="61"/>
    </row>
    <row r="33" spans="3:12" ht="15.75" customHeight="1">
      <c r="C33" s="51"/>
      <c r="D33" s="71"/>
      <c r="F33" s="51"/>
      <c r="G33" s="71"/>
      <c r="K33" s="61"/>
      <c r="L33" s="61"/>
    </row>
    <row r="34" spans="3:12" ht="15.75" customHeight="1">
      <c r="C34" s="51"/>
      <c r="D34" s="71"/>
      <c r="F34" s="51"/>
      <c r="G34" s="71"/>
      <c r="K34" s="61"/>
      <c r="L34" s="61"/>
    </row>
    <row r="35" spans="3:12" ht="15.75" customHeight="1">
      <c r="C35" s="51"/>
      <c r="D35" s="71"/>
      <c r="F35" s="51"/>
      <c r="G35" s="71"/>
      <c r="K35" s="61"/>
      <c r="L35" s="61"/>
    </row>
    <row r="36" spans="3:12" ht="15.75" customHeight="1">
      <c r="C36" s="51"/>
      <c r="D36" s="71"/>
      <c r="F36" s="51"/>
      <c r="G36" s="71"/>
      <c r="K36" s="61"/>
      <c r="L36" s="61"/>
    </row>
    <row r="37" spans="3:12" ht="15.75" customHeight="1">
      <c r="C37" s="51"/>
      <c r="D37" s="71"/>
      <c r="F37" s="51"/>
      <c r="G37" s="71"/>
    </row>
    <row r="38" spans="3:12" ht="15.75" customHeight="1">
      <c r="C38" s="51"/>
      <c r="D38" s="71"/>
      <c r="F38" s="51"/>
      <c r="G38" s="71"/>
    </row>
    <row r="39" spans="3:12" ht="15.75" customHeight="1">
      <c r="C39" s="51"/>
      <c r="D39" s="71"/>
      <c r="F39" s="51"/>
      <c r="G39" s="71"/>
    </row>
    <row r="40" spans="3:12" ht="15.75" customHeight="1">
      <c r="C40" s="51"/>
      <c r="D40" s="71"/>
      <c r="F40" s="51"/>
      <c r="G40" s="71"/>
    </row>
    <row r="41" spans="3:12" ht="15.75" customHeight="1">
      <c r="C41" s="51"/>
      <c r="D41" s="71"/>
      <c r="F41" s="51"/>
      <c r="G41" s="71"/>
    </row>
    <row r="42" spans="3:12" ht="15.75" customHeight="1">
      <c r="C42" s="51"/>
      <c r="D42" s="71"/>
      <c r="F42" s="51"/>
      <c r="G42" s="71"/>
    </row>
    <row r="43" spans="3:12" ht="15.75" customHeight="1">
      <c r="C43" s="51"/>
      <c r="D43" s="71"/>
      <c r="E43" s="51"/>
      <c r="F43" s="51"/>
      <c r="G43" s="71"/>
    </row>
    <row r="44" spans="3:12" ht="15.75" customHeight="1">
      <c r="C44" s="51"/>
      <c r="D44" s="71"/>
      <c r="E44" s="51"/>
      <c r="F44" s="51"/>
      <c r="G44" s="71"/>
    </row>
    <row r="45" spans="3:12" ht="15.75" customHeight="1">
      <c r="C45" s="51"/>
      <c r="D45" s="71"/>
      <c r="E45" s="51"/>
      <c r="F45" s="51"/>
      <c r="G45" s="71"/>
    </row>
  </sheetData>
  <mergeCells count="10">
    <mergeCell ref="B17:J17"/>
    <mergeCell ref="B16:J16"/>
    <mergeCell ref="A4:J4"/>
    <mergeCell ref="B14:C15"/>
    <mergeCell ref="E14:F15"/>
    <mergeCell ref="H14:I15"/>
    <mergeCell ref="A5:A6"/>
    <mergeCell ref="E5:G5"/>
    <mergeCell ref="H5:J5"/>
    <mergeCell ref="B5:D5"/>
  </mergeCells>
  <phoneticPr fontId="17" type="noConversion"/>
  <conditionalFormatting sqref="C19:C30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F19:F30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I19:I30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5" orientation="landscape" r:id="rId1"/>
  <headerFooter>
    <oddHeader>&amp;CSS24546BV02生物分析方法学验证数据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2:E30"/>
  <sheetViews>
    <sheetView zoomScaleNormal="100" zoomScaleSheetLayoutView="100" workbookViewId="0">
      <selection activeCell="B5" sqref="B5:D5"/>
    </sheetView>
  </sheetViews>
  <sheetFormatPr defaultColWidth="8.875" defaultRowHeight="13.5"/>
  <cols>
    <col min="1" max="1" width="28.75" style="45" customWidth="1"/>
    <col min="2" max="3" width="21.625" style="45" customWidth="1"/>
    <col min="4" max="4" width="25.5" style="45" customWidth="1"/>
    <col min="5" max="5" width="15.375" style="45" customWidth="1"/>
    <col min="6" max="16384" width="8.875" style="45"/>
  </cols>
  <sheetData>
    <row r="2" spans="1:5" ht="15.75" customHeight="1">
      <c r="A2" s="45" t="s">
        <v>40</v>
      </c>
      <c r="E2" s="46"/>
    </row>
    <row r="3" spans="1:5" ht="15.95" customHeight="1">
      <c r="E3" s="46"/>
    </row>
    <row r="4" spans="1:5" ht="15.75" customHeight="1">
      <c r="A4" s="132" t="s">
        <v>162</v>
      </c>
      <c r="B4" s="133"/>
      <c r="C4" s="133"/>
      <c r="D4" s="134"/>
      <c r="E4" s="46"/>
    </row>
    <row r="5" spans="1:5" ht="15.75" customHeight="1">
      <c r="A5" s="184"/>
      <c r="B5" s="137" t="s">
        <v>221</v>
      </c>
      <c r="C5" s="131"/>
      <c r="D5" s="131"/>
      <c r="E5" s="46"/>
    </row>
    <row r="6" spans="1:5" ht="15.75" customHeight="1">
      <c r="A6" s="184"/>
      <c r="B6" s="30" t="s">
        <v>22</v>
      </c>
      <c r="C6" s="30" t="s">
        <v>23</v>
      </c>
      <c r="D6" s="30" t="s">
        <v>48</v>
      </c>
      <c r="E6" s="46"/>
    </row>
    <row r="7" spans="1:5" ht="15.75" customHeight="1">
      <c r="A7" s="30">
        <v>1</v>
      </c>
      <c r="B7" s="48">
        <v>0.76639800000000002</v>
      </c>
      <c r="C7" s="48">
        <v>0.78239999999999998</v>
      </c>
      <c r="D7" s="49">
        <f>ROUND(B7/C13*100,1)</f>
        <v>97</v>
      </c>
      <c r="E7"/>
    </row>
    <row r="8" spans="1:5" ht="15.75" customHeight="1">
      <c r="A8" s="30">
        <v>2</v>
      </c>
      <c r="B8" s="48">
        <v>0.72071499999999999</v>
      </c>
      <c r="C8" s="48">
        <v>0.80729600000000001</v>
      </c>
      <c r="D8" s="49">
        <f>ROUND(B8/C13*100,1)</f>
        <v>91.2</v>
      </c>
      <c r="E8"/>
    </row>
    <row r="9" spans="1:5" ht="15.75" customHeight="1">
      <c r="A9" s="30">
        <v>3</v>
      </c>
      <c r="B9" s="48">
        <v>0.74925399999999998</v>
      </c>
      <c r="C9" s="48">
        <v>0.77529400000000004</v>
      </c>
      <c r="D9" s="49">
        <f>ROUND(B9/C13*100,1)</f>
        <v>94.8</v>
      </c>
      <c r="E9"/>
    </row>
    <row r="10" spans="1:5" ht="15.75" customHeight="1">
      <c r="A10" s="30">
        <v>4</v>
      </c>
      <c r="B10" s="48">
        <v>0.75811899999999999</v>
      </c>
      <c r="C10" s="48">
        <v>0.786802</v>
      </c>
      <c r="D10" s="49">
        <f>ROUND(B10/C13*100,1)</f>
        <v>95.9</v>
      </c>
      <c r="E10"/>
    </row>
    <row r="11" spans="1:5" ht="15.75" customHeight="1">
      <c r="A11" s="30">
        <v>5</v>
      </c>
      <c r="B11" s="48">
        <v>0.74388699999999996</v>
      </c>
      <c r="C11" s="48">
        <v>0.794234</v>
      </c>
      <c r="D11" s="49">
        <f>ROUND(B11/C13*100,1)</f>
        <v>94.1</v>
      </c>
      <c r="E11"/>
    </row>
    <row r="12" spans="1:5" ht="15.75" customHeight="1">
      <c r="A12" s="30">
        <v>6</v>
      </c>
      <c r="B12" s="48">
        <v>0.73532399999999998</v>
      </c>
      <c r="C12" s="48">
        <v>0.79666000000000003</v>
      </c>
      <c r="D12" s="49">
        <f>ROUND(B12/C13*100,1)</f>
        <v>93</v>
      </c>
      <c r="E12"/>
    </row>
    <row r="13" spans="1:5" ht="15.75" customHeight="1">
      <c r="A13" s="30" t="s">
        <v>17</v>
      </c>
      <c r="B13" s="50">
        <f>ROUND(AVERAGE(B7:B12),6)</f>
        <v>0.74561599999999995</v>
      </c>
      <c r="C13" s="50">
        <f>ROUND(AVERAGE(C7:C12),6)</f>
        <v>0.79044800000000004</v>
      </c>
      <c r="D13" s="41">
        <f>ROUND(AVERAGE(D7:D12),1)</f>
        <v>94.3</v>
      </c>
      <c r="E13"/>
    </row>
    <row r="14" spans="1:5" ht="15.75" customHeight="1">
      <c r="A14" s="30" t="s">
        <v>4</v>
      </c>
      <c r="B14" s="50">
        <f>ROUND(STDEV(B7:B12),6)</f>
        <v>1.6312E-2</v>
      </c>
      <c r="C14" s="50">
        <f>ROUND(STDEV(C7:C12),6)</f>
        <v>1.1353E-2</v>
      </c>
      <c r="D14" s="41">
        <f>ROUND(STDEV(D7:D12),1)</f>
        <v>2.1</v>
      </c>
      <c r="E14"/>
    </row>
    <row r="15" spans="1:5" ht="15.75" customHeight="1">
      <c r="A15" s="30" t="s">
        <v>44</v>
      </c>
      <c r="B15" s="41">
        <f>ROUND(B14/B13*100,1)</f>
        <v>2.2000000000000002</v>
      </c>
      <c r="C15" s="41">
        <f>ROUND(C14/C13*100,1)</f>
        <v>1.4</v>
      </c>
      <c r="D15" s="41">
        <f>ROUND(D14/D13*100,1)</f>
        <v>2.2000000000000002</v>
      </c>
      <c r="E15"/>
    </row>
    <row r="16" spans="1:5" ht="14.25">
      <c r="A16" s="34"/>
      <c r="B16" s="34"/>
      <c r="C16" s="34"/>
      <c r="D16" s="51"/>
      <c r="E16"/>
    </row>
    <row r="17" spans="1:5" ht="14.25">
      <c r="E17"/>
    </row>
    <row r="18" spans="1:5" ht="14.25">
      <c r="A18" s="52" t="s">
        <v>57</v>
      </c>
      <c r="B18" s="30" t="s">
        <v>58</v>
      </c>
      <c r="C18" s="30" t="s">
        <v>59</v>
      </c>
      <c r="D18" s="53" t="s">
        <v>60</v>
      </c>
      <c r="E18"/>
    </row>
    <row r="19" spans="1:5" ht="14.25">
      <c r="A19" s="54" t="s">
        <v>150</v>
      </c>
      <c r="B19" s="55">
        <v>1719614</v>
      </c>
      <c r="C19" s="55">
        <v>1345426</v>
      </c>
      <c r="D19" s="56">
        <f>ROUND(C19/B19,6)</f>
        <v>0.78239999999999998</v>
      </c>
      <c r="E19" s="3"/>
    </row>
    <row r="20" spans="1:5" ht="14.25">
      <c r="A20" s="54" t="s">
        <v>151</v>
      </c>
      <c r="B20" s="55">
        <v>1739733</v>
      </c>
      <c r="C20" s="55">
        <v>1404480</v>
      </c>
      <c r="D20" s="56">
        <f t="shared" ref="D20:D30" si="0">ROUND(C20/B20,6)</f>
        <v>0.80729600000000001</v>
      </c>
      <c r="E20" s="3"/>
    </row>
    <row r="21" spans="1:5" ht="14.25">
      <c r="A21" s="54" t="s">
        <v>152</v>
      </c>
      <c r="B21" s="55">
        <v>1671148</v>
      </c>
      <c r="C21" s="55">
        <v>1295631</v>
      </c>
      <c r="D21" s="56">
        <f t="shared" si="0"/>
        <v>0.77529400000000004</v>
      </c>
      <c r="E21" s="3"/>
    </row>
    <row r="22" spans="1:5" ht="14.25">
      <c r="A22" s="54" t="s">
        <v>153</v>
      </c>
      <c r="B22" s="55">
        <v>1806956</v>
      </c>
      <c r="C22" s="55">
        <v>1421716</v>
      </c>
      <c r="D22" s="56">
        <f t="shared" si="0"/>
        <v>0.786802</v>
      </c>
      <c r="E22" s="3"/>
    </row>
    <row r="23" spans="1:5" ht="14.25">
      <c r="A23" s="54" t="s">
        <v>154</v>
      </c>
      <c r="B23" s="55">
        <v>1759651</v>
      </c>
      <c r="C23" s="55">
        <v>1397574</v>
      </c>
      <c r="D23" s="56">
        <f t="shared" si="0"/>
        <v>0.794234</v>
      </c>
      <c r="E23" s="3"/>
    </row>
    <row r="24" spans="1:5" ht="14.25">
      <c r="A24" s="54" t="s">
        <v>155</v>
      </c>
      <c r="B24" s="55">
        <v>1856755</v>
      </c>
      <c r="C24" s="55">
        <v>1479202</v>
      </c>
      <c r="D24" s="56">
        <f t="shared" si="0"/>
        <v>0.79666000000000003</v>
      </c>
      <c r="E24" s="3"/>
    </row>
    <row r="25" spans="1:5" ht="14.25">
      <c r="A25" s="54" t="s">
        <v>156</v>
      </c>
      <c r="B25" s="55">
        <v>2098905</v>
      </c>
      <c r="C25" s="55">
        <v>1608597</v>
      </c>
      <c r="D25" s="56">
        <f t="shared" si="0"/>
        <v>0.76639800000000002</v>
      </c>
      <c r="E25" s="3"/>
    </row>
    <row r="26" spans="1:5" ht="14.25">
      <c r="A26" s="54" t="s">
        <v>157</v>
      </c>
      <c r="B26" s="55">
        <v>2214148</v>
      </c>
      <c r="C26" s="55">
        <v>1595770</v>
      </c>
      <c r="D26" s="56">
        <f t="shared" si="0"/>
        <v>0.72071499999999999</v>
      </c>
      <c r="E26" s="3"/>
    </row>
    <row r="27" spans="1:5" ht="14.25">
      <c r="A27" s="54" t="s">
        <v>158</v>
      </c>
      <c r="B27" s="55">
        <v>2175962</v>
      </c>
      <c r="C27" s="55">
        <v>1630349</v>
      </c>
      <c r="D27" s="56">
        <f t="shared" si="0"/>
        <v>0.74925399999999998</v>
      </c>
      <c r="E27" s="3"/>
    </row>
    <row r="28" spans="1:5" ht="14.25">
      <c r="A28" s="54" t="s">
        <v>159</v>
      </c>
      <c r="B28" s="55">
        <v>2198629</v>
      </c>
      <c r="C28" s="55">
        <v>1666822</v>
      </c>
      <c r="D28" s="56">
        <f t="shared" si="0"/>
        <v>0.75811899999999999</v>
      </c>
      <c r="E28" s="3"/>
    </row>
    <row r="29" spans="1:5" ht="14.25">
      <c r="A29" s="54" t="s">
        <v>160</v>
      </c>
      <c r="B29" s="55">
        <v>2240565</v>
      </c>
      <c r="C29" s="55">
        <v>1666727</v>
      </c>
      <c r="D29" s="56">
        <f t="shared" si="0"/>
        <v>0.74388699999999996</v>
      </c>
      <c r="E29" s="3"/>
    </row>
    <row r="30" spans="1:5" ht="14.25">
      <c r="A30" s="57" t="s">
        <v>161</v>
      </c>
      <c r="B30" s="58">
        <v>2261777</v>
      </c>
      <c r="C30" s="58">
        <v>1663139</v>
      </c>
      <c r="D30" s="59">
        <f t="shared" si="0"/>
        <v>0.73532399999999998</v>
      </c>
      <c r="E30" s="3"/>
    </row>
  </sheetData>
  <mergeCells count="3">
    <mergeCell ref="A4:D4"/>
    <mergeCell ref="A5:A6"/>
    <mergeCell ref="B5:D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2:E18"/>
  <sheetViews>
    <sheetView zoomScaleNormal="100" zoomScaleSheetLayoutView="100" workbookViewId="0">
      <selection activeCell="C8" sqref="C8:D18"/>
    </sheetView>
  </sheetViews>
  <sheetFormatPr defaultColWidth="8.875" defaultRowHeight="13.5"/>
  <cols>
    <col min="1" max="1" width="17" style="4" customWidth="1"/>
    <col min="2" max="2" width="17.625" style="43" customWidth="1"/>
    <col min="3" max="3" width="20" style="4" customWidth="1"/>
    <col min="4" max="4" width="17.625" style="44" customWidth="1"/>
    <col min="5" max="16384" width="8.875" style="4"/>
  </cols>
  <sheetData>
    <row r="2" spans="1:5">
      <c r="A2" s="126" t="s">
        <v>39</v>
      </c>
      <c r="B2" s="126"/>
      <c r="C2" s="126"/>
      <c r="D2" s="126"/>
    </row>
    <row r="3" spans="1:5">
      <c r="A3" s="5"/>
      <c r="B3" s="5"/>
      <c r="C3" s="5"/>
      <c r="D3" s="42"/>
    </row>
    <row r="5" spans="1:5" ht="15" customHeight="1">
      <c r="A5" s="150" t="s">
        <v>33</v>
      </c>
      <c r="B5" s="150" t="s">
        <v>9</v>
      </c>
      <c r="C5" s="7" t="s">
        <v>99</v>
      </c>
      <c r="D5" s="185" t="s">
        <v>47</v>
      </c>
    </row>
    <row r="6" spans="1:5" ht="15" customHeight="1">
      <c r="A6" s="151"/>
      <c r="B6" s="151"/>
      <c r="C6" s="10">
        <v>125000</v>
      </c>
      <c r="D6" s="186"/>
    </row>
    <row r="7" spans="1:5" ht="15" customHeight="1">
      <c r="A7" s="152"/>
      <c r="B7" s="152"/>
      <c r="C7" s="11" t="s">
        <v>6</v>
      </c>
      <c r="D7" s="187"/>
    </row>
    <row r="8" spans="1:5" ht="15" customHeight="1">
      <c r="A8" s="188">
        <v>45771</v>
      </c>
      <c r="B8" s="150">
        <v>1</v>
      </c>
      <c r="C8" s="13">
        <v>135987.74900000001</v>
      </c>
      <c r="D8" s="14">
        <f>ROUND((C8-C6)/C6*100,1)</f>
        <v>8.8000000000000007</v>
      </c>
      <c r="E8"/>
    </row>
    <row r="9" spans="1:5" ht="15" customHeight="1">
      <c r="A9" s="189"/>
      <c r="B9" s="151"/>
      <c r="C9" s="13">
        <v>133855.27100000001</v>
      </c>
      <c r="D9" s="14">
        <f>ROUND((C9-C6)/C6*100,1)</f>
        <v>7.1</v>
      </c>
      <c r="E9"/>
    </row>
    <row r="10" spans="1:5" ht="15" customHeight="1">
      <c r="A10" s="189"/>
      <c r="B10" s="151"/>
      <c r="C10" s="13">
        <v>137581.33199999999</v>
      </c>
      <c r="D10" s="14">
        <f>ROUND((C10-C6)/C6*100,1)</f>
        <v>10.1</v>
      </c>
      <c r="E10"/>
    </row>
    <row r="11" spans="1:5" ht="15" customHeight="1">
      <c r="A11" s="189"/>
      <c r="B11" s="151"/>
      <c r="C11" s="13">
        <v>133688.74900000001</v>
      </c>
      <c r="D11" s="14">
        <f>ROUND((C11-C6)/C6*100,1)</f>
        <v>7</v>
      </c>
      <c r="E11"/>
    </row>
    <row r="12" spans="1:5" ht="15" customHeight="1">
      <c r="A12" s="189"/>
      <c r="B12" s="151"/>
      <c r="C12" s="13">
        <v>150905.23000000001</v>
      </c>
      <c r="D12" s="14">
        <f>ROUND((C12-C6)/C6*100,1)</f>
        <v>20.7</v>
      </c>
      <c r="E12"/>
    </row>
    <row r="13" spans="1:5" ht="15" customHeight="1">
      <c r="A13" s="190"/>
      <c r="B13" s="152"/>
      <c r="C13" s="13">
        <v>140124.99</v>
      </c>
      <c r="D13" s="14">
        <f>ROUND((C13-C6)/C6*100,1)</f>
        <v>12.1</v>
      </c>
      <c r="E13"/>
    </row>
    <row r="14" spans="1:5" ht="15" customHeight="1">
      <c r="A14" s="7" t="s">
        <v>100</v>
      </c>
      <c r="B14" s="145"/>
      <c r="C14" s="15">
        <f>ROUND(AVERAGE(C8:C13),3)</f>
        <v>138690.554</v>
      </c>
      <c r="D14" s="191"/>
    </row>
    <row r="15" spans="1:5" ht="15" customHeight="1">
      <c r="A15" s="7" t="s">
        <v>4</v>
      </c>
      <c r="B15" s="146"/>
      <c r="C15" s="15">
        <f>ROUND(STDEV(C8:C13),3)</f>
        <v>6452.7430000000004</v>
      </c>
      <c r="D15" s="192"/>
    </row>
    <row r="16" spans="1:5" ht="15" customHeight="1">
      <c r="A16" s="7" t="s">
        <v>44</v>
      </c>
      <c r="B16" s="146"/>
      <c r="C16" s="14">
        <f>ROUND(C15/C14*100,1)</f>
        <v>4.7</v>
      </c>
      <c r="D16" s="192"/>
    </row>
    <row r="17" spans="1:4" ht="15" customHeight="1">
      <c r="A17" s="7" t="s">
        <v>45</v>
      </c>
      <c r="B17" s="146"/>
      <c r="C17" s="14">
        <f>ROUND(C14/C6*100,1)</f>
        <v>111</v>
      </c>
      <c r="D17" s="192"/>
    </row>
    <row r="18" spans="1:4" ht="15" customHeight="1">
      <c r="A18" s="7" t="s">
        <v>5</v>
      </c>
      <c r="B18" s="147"/>
      <c r="C18" s="18">
        <v>6</v>
      </c>
      <c r="D18" s="193"/>
    </row>
  </sheetData>
  <mergeCells count="8">
    <mergeCell ref="A2:D2"/>
    <mergeCell ref="B14:B18"/>
    <mergeCell ref="D5:D7"/>
    <mergeCell ref="B5:B7"/>
    <mergeCell ref="A5:A7"/>
    <mergeCell ref="A8:A13"/>
    <mergeCell ref="B8:B13"/>
    <mergeCell ref="D14:D18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2:I45"/>
  <sheetViews>
    <sheetView zoomScaleNormal="100" zoomScaleSheetLayoutView="100" workbookViewId="0">
      <selection activeCell="K29" sqref="K29"/>
    </sheetView>
  </sheetViews>
  <sheetFormatPr defaultColWidth="8.875" defaultRowHeight="13.5"/>
  <cols>
    <col min="1" max="4" width="14.625" style="20" customWidth="1"/>
    <col min="5" max="5" width="14.625" style="4" customWidth="1"/>
    <col min="6" max="6" width="14.625" style="20" customWidth="1"/>
    <col min="7" max="7" width="12.375" style="20" customWidth="1"/>
    <col min="8" max="8" width="8.875" style="20"/>
    <col min="9" max="9" width="16.875" style="20" customWidth="1"/>
    <col min="10" max="16384" width="8.875" style="20"/>
  </cols>
  <sheetData>
    <row r="2" spans="1:9">
      <c r="A2" s="194" t="s">
        <v>38</v>
      </c>
      <c r="B2" s="194"/>
      <c r="C2" s="194"/>
    </row>
    <row r="3" spans="1:9">
      <c r="A3" s="19"/>
      <c r="B3" s="19"/>
      <c r="C3" s="19"/>
      <c r="I3" s="4"/>
    </row>
    <row r="4" spans="1:9" s="38" customFormat="1">
      <c r="A4" s="4"/>
      <c r="B4" s="4"/>
      <c r="C4" s="4"/>
      <c r="D4" s="4"/>
      <c r="E4" s="4"/>
      <c r="F4" s="4"/>
      <c r="H4" s="39" t="s">
        <v>55</v>
      </c>
      <c r="I4" s="29">
        <v>45774.758333333331</v>
      </c>
    </row>
    <row r="5" spans="1:9" ht="14.25" customHeight="1">
      <c r="A5" s="202" t="s">
        <v>163</v>
      </c>
      <c r="B5" s="202"/>
      <c r="C5" s="202"/>
      <c r="D5" s="202"/>
      <c r="E5" s="202"/>
      <c r="F5" s="202"/>
      <c r="H5" s="40" t="s">
        <v>56</v>
      </c>
      <c r="I5" s="29">
        <v>45775.429166666669</v>
      </c>
    </row>
    <row r="6" spans="1:9" ht="13.5" customHeight="1">
      <c r="A6" s="195" t="s">
        <v>30</v>
      </c>
      <c r="B6" s="195" t="s">
        <v>18</v>
      </c>
      <c r="C6" s="7" t="s">
        <v>3</v>
      </c>
      <c r="D6" s="198" t="s">
        <v>93</v>
      </c>
      <c r="E6" s="7" t="s">
        <v>1</v>
      </c>
      <c r="F6" s="198" t="s">
        <v>93</v>
      </c>
      <c r="H6" s="28" t="s">
        <v>52</v>
      </c>
      <c r="I6" s="31">
        <f>(I5-I4)*24</f>
        <v>16.100000000093132</v>
      </c>
    </row>
    <row r="7" spans="1:9">
      <c r="A7" s="196"/>
      <c r="B7" s="196"/>
      <c r="C7" s="10">
        <v>150</v>
      </c>
      <c r="D7" s="198"/>
      <c r="E7" s="10">
        <v>18750</v>
      </c>
      <c r="F7" s="198"/>
      <c r="I7" s="4"/>
    </row>
    <row r="8" spans="1:9">
      <c r="A8" s="197"/>
      <c r="B8" s="197"/>
      <c r="C8" s="11" t="s">
        <v>6</v>
      </c>
      <c r="D8" s="198"/>
      <c r="E8" s="11" t="s">
        <v>6</v>
      </c>
      <c r="F8" s="198"/>
      <c r="I8" s="4"/>
    </row>
    <row r="9" spans="1:9" ht="14.25">
      <c r="A9" s="188">
        <v>45778</v>
      </c>
      <c r="B9" s="150">
        <v>5</v>
      </c>
      <c r="C9" s="13">
        <v>151.37100000000001</v>
      </c>
      <c r="D9" s="14">
        <f>ROUND((C9-C7)/C7*100,1)</f>
        <v>0.9</v>
      </c>
      <c r="E9" s="13">
        <v>17905.292000000001</v>
      </c>
      <c r="F9" s="14">
        <f>ROUND((E9-E7)/E7*100,1)</f>
        <v>-4.5</v>
      </c>
      <c r="G9"/>
      <c r="I9"/>
    </row>
    <row r="10" spans="1:9" ht="14.25">
      <c r="A10" s="189"/>
      <c r="B10" s="151"/>
      <c r="C10" s="13">
        <v>147.19200000000001</v>
      </c>
      <c r="D10" s="14">
        <f>ROUND((C10-C7)/C7*100,1)</f>
        <v>-1.9</v>
      </c>
      <c r="E10" s="13">
        <v>18027.612000000001</v>
      </c>
      <c r="F10" s="14">
        <f>ROUND((E10-E7)/E7*100,1)</f>
        <v>-3.9</v>
      </c>
      <c r="G10"/>
      <c r="I10"/>
    </row>
    <row r="11" spans="1:9" ht="14.25">
      <c r="A11" s="189"/>
      <c r="B11" s="151"/>
      <c r="C11" s="13">
        <v>149.13399999999999</v>
      </c>
      <c r="D11" s="14">
        <f>ROUND((C11-C7)/C7*100,1)</f>
        <v>-0.6</v>
      </c>
      <c r="E11" s="13">
        <v>23094.235000000001</v>
      </c>
      <c r="F11" s="14">
        <f>ROUND((E11-E7)/E7*100,1)</f>
        <v>23.2</v>
      </c>
      <c r="G11"/>
      <c r="I11"/>
    </row>
    <row r="12" spans="1:9" ht="14.25">
      <c r="A12" s="189"/>
      <c r="B12" s="151"/>
      <c r="C12" s="13">
        <v>143.45099999999999</v>
      </c>
      <c r="D12" s="14">
        <f>ROUND((C12-C7)/C7*100,1)</f>
        <v>-4.4000000000000004</v>
      </c>
      <c r="E12" s="13">
        <v>19762.832999999999</v>
      </c>
      <c r="F12" s="14">
        <f>ROUND((E12-E7)/E7*100,1)</f>
        <v>5.4</v>
      </c>
      <c r="G12"/>
      <c r="I12"/>
    </row>
    <row r="13" spans="1:9" ht="14.25">
      <c r="A13" s="189"/>
      <c r="B13" s="151"/>
      <c r="C13" s="13">
        <v>145.22900000000001</v>
      </c>
      <c r="D13" s="14">
        <f>ROUND((C13-C7)/C7*100,1)</f>
        <v>-3.2</v>
      </c>
      <c r="E13" s="13">
        <v>17962.252</v>
      </c>
      <c r="F13" s="14">
        <f>ROUND((E13-E7)/E7*100,1)</f>
        <v>-4.2</v>
      </c>
      <c r="G13"/>
      <c r="I13"/>
    </row>
    <row r="14" spans="1:9" ht="14.25">
      <c r="A14" s="190"/>
      <c r="B14" s="152"/>
      <c r="C14" s="13">
        <v>147.012</v>
      </c>
      <c r="D14" s="14">
        <f>ROUND((C14-C7)/C7*100,1)</f>
        <v>-2</v>
      </c>
      <c r="E14" s="13">
        <v>17691.293000000001</v>
      </c>
      <c r="F14" s="14">
        <f>ROUND((E14-E7)/E7*100,1)</f>
        <v>-5.6</v>
      </c>
      <c r="G14"/>
      <c r="I14"/>
    </row>
    <row r="15" spans="1:9">
      <c r="A15" s="7" t="s">
        <v>16</v>
      </c>
      <c r="B15" s="199"/>
      <c r="C15" s="15">
        <f>ROUND(AVERAGE(C9:C14),3)</f>
        <v>147.232</v>
      </c>
      <c r="D15" s="191"/>
      <c r="E15" s="15">
        <f>ROUND(AVERAGE(E9:E14),3)</f>
        <v>19073.919999999998</v>
      </c>
      <c r="F15" s="191"/>
    </row>
    <row r="16" spans="1:9">
      <c r="A16" s="7" t="s">
        <v>4</v>
      </c>
      <c r="B16" s="200"/>
      <c r="C16" s="15">
        <f>ROUND(STDEV(C9:C14),3)</f>
        <v>2.7970000000000002</v>
      </c>
      <c r="D16" s="192"/>
      <c r="E16" s="15">
        <f>ROUND(STDEV(E9:E14),3)</f>
        <v>2109.2869999999998</v>
      </c>
      <c r="F16" s="192"/>
    </row>
    <row r="17" spans="1:6">
      <c r="A17" s="7" t="s">
        <v>44</v>
      </c>
      <c r="B17" s="200"/>
      <c r="C17" s="14">
        <f>ROUND(C16/C15*100,1)</f>
        <v>1.9</v>
      </c>
      <c r="D17" s="192"/>
      <c r="E17" s="14">
        <f>ROUND(E16/E15*100,1)</f>
        <v>11.1</v>
      </c>
      <c r="F17" s="192"/>
    </row>
    <row r="18" spans="1:6">
      <c r="A18" s="30" t="s">
        <v>45</v>
      </c>
      <c r="B18" s="200"/>
      <c r="C18" s="14">
        <f>ROUND(C15/C7*100,1)</f>
        <v>98.2</v>
      </c>
      <c r="D18" s="192"/>
      <c r="E18" s="14">
        <f>ROUND(E15/E7*100,1)</f>
        <v>101.7</v>
      </c>
      <c r="F18" s="192"/>
    </row>
    <row r="19" spans="1:6">
      <c r="A19" s="30" t="s">
        <v>5</v>
      </c>
      <c r="B19" s="201"/>
      <c r="C19" s="18">
        <v>6</v>
      </c>
      <c r="D19" s="193"/>
      <c r="E19" s="18">
        <v>6</v>
      </c>
      <c r="F19" s="193"/>
    </row>
    <row r="22" spans="1:6">
      <c r="C22" s="32"/>
      <c r="D22" s="4"/>
      <c r="E22" s="32"/>
      <c r="F22" s="4"/>
    </row>
    <row r="23" spans="1:6">
      <c r="C23" s="4"/>
      <c r="D23" s="4"/>
      <c r="F23" s="4"/>
    </row>
    <row r="24" spans="1:6">
      <c r="C24" s="33"/>
      <c r="D24" s="4"/>
      <c r="E24" s="33"/>
      <c r="F24" s="4"/>
    </row>
    <row r="25" spans="1:6">
      <c r="C25" s="33"/>
      <c r="D25" s="4"/>
      <c r="E25" s="33"/>
      <c r="F25" s="4"/>
    </row>
    <row r="26" spans="1:6">
      <c r="D26" s="4"/>
      <c r="E26" s="20"/>
      <c r="F26" s="4"/>
    </row>
    <row r="27" spans="1:6">
      <c r="D27" s="4"/>
      <c r="E27" s="20"/>
      <c r="F27" s="4"/>
    </row>
    <row r="44" spans="2:2">
      <c r="B44" s="4"/>
    </row>
    <row r="45" spans="2:2">
      <c r="B45" s="4"/>
    </row>
  </sheetData>
  <mergeCells count="11"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  <mergeCell ref="A5:F5"/>
  </mergeCells>
  <phoneticPr fontId="4" type="noConversion"/>
  <conditionalFormatting sqref="H9:H14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J9:J14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2:K46"/>
  <sheetViews>
    <sheetView zoomScaleNormal="100" zoomScaleSheetLayoutView="100" workbookViewId="0">
      <selection activeCell="L14" sqref="L14"/>
    </sheetView>
  </sheetViews>
  <sheetFormatPr defaultColWidth="8.875" defaultRowHeight="13.5"/>
  <cols>
    <col min="1" max="7" width="12.875" style="20" customWidth="1"/>
    <col min="8" max="16384" width="8.875" style="20"/>
  </cols>
  <sheetData>
    <row r="2" spans="1:11">
      <c r="A2" s="194" t="s">
        <v>37</v>
      </c>
      <c r="B2" s="194"/>
      <c r="C2" s="194"/>
      <c r="D2" s="194"/>
      <c r="E2" s="194"/>
      <c r="F2" s="194"/>
    </row>
    <row r="3" spans="1:11">
      <c r="A3" s="19"/>
      <c r="B3" s="19"/>
      <c r="C3" s="19"/>
      <c r="D3" s="19"/>
      <c r="E3" s="19"/>
      <c r="F3" s="19"/>
    </row>
    <row r="4" spans="1:11" s="4" customFormat="1">
      <c r="B4" s="5"/>
      <c r="C4" s="5"/>
      <c r="D4" s="5"/>
      <c r="E4" s="5"/>
      <c r="F4" s="5"/>
    </row>
    <row r="5" spans="1:11">
      <c r="A5" s="202" t="s">
        <v>222</v>
      </c>
      <c r="B5" s="202"/>
      <c r="C5" s="202"/>
      <c r="D5" s="202"/>
      <c r="E5" s="202"/>
      <c r="F5" s="202"/>
      <c r="G5" s="202"/>
    </row>
    <row r="6" spans="1:11" s="34" customFormat="1" ht="13.5" customHeight="1">
      <c r="A6" s="195" t="s">
        <v>30</v>
      </c>
      <c r="B6" s="195" t="s">
        <v>18</v>
      </c>
      <c r="C6" s="195" t="s">
        <v>24</v>
      </c>
      <c r="D6" s="7" t="s">
        <v>3</v>
      </c>
      <c r="E6" s="198" t="s">
        <v>93</v>
      </c>
      <c r="F6" s="7" t="s">
        <v>1</v>
      </c>
      <c r="G6" s="198" t="s">
        <v>93</v>
      </c>
      <c r="H6" s="9"/>
    </row>
    <row r="7" spans="1:11" s="34" customFormat="1">
      <c r="A7" s="196"/>
      <c r="B7" s="196"/>
      <c r="C7" s="196"/>
      <c r="D7" s="10">
        <v>150</v>
      </c>
      <c r="E7" s="198"/>
      <c r="F7" s="10">
        <v>18750</v>
      </c>
      <c r="G7" s="198"/>
      <c r="H7" s="9"/>
    </row>
    <row r="8" spans="1:11" s="34" customFormat="1">
      <c r="A8" s="197"/>
      <c r="B8" s="197"/>
      <c r="C8" s="197"/>
      <c r="D8" s="11" t="s">
        <v>6</v>
      </c>
      <c r="E8" s="198"/>
      <c r="F8" s="11" t="s">
        <v>6</v>
      </c>
      <c r="G8" s="198"/>
      <c r="H8" s="9"/>
    </row>
    <row r="9" spans="1:11" s="34" customFormat="1" ht="14.25">
      <c r="A9" s="161">
        <v>45778</v>
      </c>
      <c r="B9" s="150">
        <v>5</v>
      </c>
      <c r="C9" s="150" t="s">
        <v>101</v>
      </c>
      <c r="D9" s="13">
        <v>143.42400000000001</v>
      </c>
      <c r="E9" s="14">
        <f>ROUND((D9-D7)/D7*100,1)</f>
        <v>-4.4000000000000004</v>
      </c>
      <c r="F9" s="13">
        <v>17262.183000000001</v>
      </c>
      <c r="G9" s="14">
        <f>ROUND((F9-F7)/F7*100,1)</f>
        <v>-7.9</v>
      </c>
      <c r="H9"/>
      <c r="I9" s="20"/>
      <c r="J9"/>
      <c r="K9" s="20"/>
    </row>
    <row r="10" spans="1:11" s="34" customFormat="1" ht="14.25">
      <c r="A10" s="161"/>
      <c r="B10" s="151"/>
      <c r="C10" s="151"/>
      <c r="D10" s="13">
        <v>143.72499999999999</v>
      </c>
      <c r="E10" s="14">
        <f>ROUND((D10-D7)/D7*100,1)</f>
        <v>-4.2</v>
      </c>
      <c r="F10" s="13">
        <v>20608.642</v>
      </c>
      <c r="G10" s="14">
        <f>ROUND((F10-F7)/F7*100,1)</f>
        <v>9.9</v>
      </c>
      <c r="H10"/>
      <c r="I10" s="20"/>
      <c r="J10"/>
      <c r="K10" s="20"/>
    </row>
    <row r="11" spans="1:11" s="34" customFormat="1" ht="14.25">
      <c r="A11" s="161"/>
      <c r="B11" s="151"/>
      <c r="C11" s="151"/>
      <c r="D11" s="13">
        <v>144.82400000000001</v>
      </c>
      <c r="E11" s="14">
        <f>ROUND((D11-D7)/D7*100,1)</f>
        <v>-3.5</v>
      </c>
      <c r="F11" s="13">
        <v>19834.932000000001</v>
      </c>
      <c r="G11" s="14">
        <f>ROUND((F11-F7)/F7*100,1)</f>
        <v>5.8</v>
      </c>
      <c r="H11"/>
      <c r="I11" s="20"/>
      <c r="J11"/>
      <c r="K11" s="20"/>
    </row>
    <row r="12" spans="1:11" s="34" customFormat="1" ht="14.25">
      <c r="A12" s="161"/>
      <c r="B12" s="151"/>
      <c r="C12" s="151"/>
      <c r="D12" s="13">
        <v>165.351</v>
      </c>
      <c r="E12" s="14">
        <f>ROUND((D12-D7)/D7*100,1)</f>
        <v>10.199999999999999</v>
      </c>
      <c r="F12" s="13">
        <v>17079.310000000001</v>
      </c>
      <c r="G12" s="14">
        <f>ROUND((F12-F7)/F7*100,1)</f>
        <v>-8.9</v>
      </c>
      <c r="H12"/>
      <c r="I12" s="20"/>
      <c r="J12"/>
      <c r="K12" s="20"/>
    </row>
    <row r="13" spans="1:11" s="34" customFormat="1" ht="14.25">
      <c r="A13" s="161"/>
      <c r="B13" s="151"/>
      <c r="C13" s="151"/>
      <c r="D13" s="13">
        <v>141.203</v>
      </c>
      <c r="E13" s="14">
        <f>ROUND((D13-D7)/D7*100,1)</f>
        <v>-5.9</v>
      </c>
      <c r="F13" s="13">
        <v>17364.708999999999</v>
      </c>
      <c r="G13" s="14">
        <f>ROUND((F13-F7)/F7*100,1)</f>
        <v>-7.4</v>
      </c>
      <c r="H13"/>
      <c r="I13" s="20"/>
      <c r="J13"/>
      <c r="K13" s="20"/>
    </row>
    <row r="14" spans="1:11" s="34" customFormat="1" ht="14.25">
      <c r="A14" s="161"/>
      <c r="B14" s="152"/>
      <c r="C14" s="152"/>
      <c r="D14" s="13">
        <v>142.93100000000001</v>
      </c>
      <c r="E14" s="14">
        <f>ROUND((D14-D7)/D7*100,1)</f>
        <v>-4.7</v>
      </c>
      <c r="F14" s="13">
        <v>18116.661</v>
      </c>
      <c r="G14" s="14">
        <f>ROUND((F14-F7)/F7*100,1)</f>
        <v>-3.4</v>
      </c>
      <c r="H14"/>
      <c r="I14" s="20"/>
      <c r="J14"/>
      <c r="K14" s="20"/>
    </row>
    <row r="15" spans="1:11" s="34" customFormat="1">
      <c r="A15" s="7" t="s">
        <v>16</v>
      </c>
      <c r="B15" s="199"/>
      <c r="C15" s="199"/>
      <c r="D15" s="15">
        <f>ROUND(AVERAGE(D9:D14),3)</f>
        <v>146.91</v>
      </c>
      <c r="E15" s="191"/>
      <c r="F15" s="15">
        <f>ROUND(AVERAGE(F9:F14),3)</f>
        <v>18377.740000000002</v>
      </c>
      <c r="G15" s="191"/>
      <c r="H15" s="9"/>
    </row>
    <row r="16" spans="1:11" s="34" customFormat="1">
      <c r="A16" s="7" t="s">
        <v>4</v>
      </c>
      <c r="B16" s="200"/>
      <c r="C16" s="200"/>
      <c r="D16" s="15">
        <f>ROUND(STDEV(D9:D14),3)</f>
        <v>9.1120000000000001</v>
      </c>
      <c r="E16" s="192"/>
      <c r="F16" s="15">
        <f>ROUND(STDEV(F9:F14),3)</f>
        <v>1491.6510000000001</v>
      </c>
      <c r="G16" s="192"/>
      <c r="H16" s="9"/>
    </row>
    <row r="17" spans="1:8" s="34" customFormat="1">
      <c r="A17" s="7" t="s">
        <v>44</v>
      </c>
      <c r="B17" s="200"/>
      <c r="C17" s="200"/>
      <c r="D17" s="14">
        <f>ROUND(D16/D15*100,1)</f>
        <v>6.2</v>
      </c>
      <c r="E17" s="192"/>
      <c r="F17" s="14">
        <f>ROUND(F16/F15*100,1)</f>
        <v>8.1</v>
      </c>
      <c r="G17" s="192"/>
      <c r="H17" s="9"/>
    </row>
    <row r="18" spans="1:8" s="34" customFormat="1">
      <c r="A18" s="30" t="s">
        <v>45</v>
      </c>
      <c r="B18" s="200"/>
      <c r="C18" s="200"/>
      <c r="D18" s="14">
        <f>ROUND(D15/D7*100,1)</f>
        <v>97.9</v>
      </c>
      <c r="E18" s="192"/>
      <c r="F18" s="14">
        <f>ROUND(F15/F7*100,1)</f>
        <v>98</v>
      </c>
      <c r="G18" s="192"/>
      <c r="H18" s="9"/>
    </row>
    <row r="19" spans="1:8" s="34" customFormat="1">
      <c r="A19" s="30" t="s">
        <v>5</v>
      </c>
      <c r="B19" s="201"/>
      <c r="C19" s="201"/>
      <c r="D19" s="18">
        <v>6</v>
      </c>
      <c r="E19" s="193"/>
      <c r="F19" s="18">
        <v>6</v>
      </c>
      <c r="G19" s="193"/>
      <c r="H19" s="9"/>
    </row>
    <row r="20" spans="1:8" ht="15">
      <c r="A20" s="35"/>
      <c r="B20" s="35"/>
      <c r="C20" s="35"/>
      <c r="D20" s="36"/>
      <c r="E20" s="36"/>
      <c r="F20" s="37"/>
      <c r="G20" s="4"/>
      <c r="H20" s="4"/>
    </row>
    <row r="21" spans="1:8">
      <c r="D21" s="4"/>
      <c r="E21" s="4"/>
      <c r="F21" s="4"/>
      <c r="G21" s="4"/>
      <c r="H21" s="4"/>
    </row>
    <row r="22" spans="1:8">
      <c r="D22" s="32"/>
      <c r="E22" s="4"/>
      <c r="F22" s="32"/>
      <c r="G22" s="4"/>
      <c r="H22" s="4"/>
    </row>
    <row r="23" spans="1:8">
      <c r="D23" s="4"/>
      <c r="E23" s="4"/>
      <c r="F23" s="4"/>
      <c r="G23" s="4"/>
      <c r="H23" s="4"/>
    </row>
    <row r="24" spans="1:8">
      <c r="D24" s="33"/>
      <c r="E24" s="4"/>
      <c r="F24" s="33"/>
      <c r="G24" s="4"/>
    </row>
    <row r="25" spans="1:8">
      <c r="D25" s="33"/>
      <c r="E25" s="4"/>
      <c r="F25" s="33"/>
      <c r="G25" s="4"/>
    </row>
    <row r="26" spans="1:8">
      <c r="E26" s="4"/>
      <c r="G26" s="4"/>
    </row>
    <row r="27" spans="1:8">
      <c r="E27" s="4"/>
      <c r="G27" s="4"/>
    </row>
    <row r="45" spans="2:2">
      <c r="B45" s="4"/>
    </row>
    <row r="46" spans="2:2">
      <c r="B46" s="4"/>
    </row>
  </sheetData>
  <mergeCells count="14">
    <mergeCell ref="G15:G19"/>
    <mergeCell ref="A9:A14"/>
    <mergeCell ref="C9:C14"/>
    <mergeCell ref="B15:B19"/>
    <mergeCell ref="C15:C19"/>
    <mergeCell ref="E15:E19"/>
    <mergeCell ref="B9:B14"/>
    <mergeCell ref="A2:F2"/>
    <mergeCell ref="A6:A8"/>
    <mergeCell ref="B6:B8"/>
    <mergeCell ref="E6:E8"/>
    <mergeCell ref="A5:G5"/>
    <mergeCell ref="G6:G8"/>
    <mergeCell ref="C6:C8"/>
  </mergeCells>
  <phoneticPr fontId="4" type="noConversion"/>
  <conditionalFormatting sqref="I9:I14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K9:K14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2:J27"/>
  <sheetViews>
    <sheetView zoomScaleNormal="100" zoomScaleSheetLayoutView="100" workbookViewId="0">
      <selection activeCell="L30" sqref="L30"/>
    </sheetView>
  </sheetViews>
  <sheetFormatPr defaultColWidth="8.875" defaultRowHeight="13.5"/>
  <cols>
    <col min="1" max="2" width="14.125" style="4" customWidth="1"/>
    <col min="3" max="3" width="17.5" style="4" customWidth="1"/>
    <col min="4" max="6" width="14.125" style="4" customWidth="1"/>
    <col min="7" max="7" width="14" style="4" customWidth="1"/>
    <col min="8" max="8" width="8.875" style="4"/>
    <col min="9" max="9" width="16.75" style="4" customWidth="1"/>
    <col min="10" max="16384" width="8.875" style="4"/>
  </cols>
  <sheetData>
    <row r="2" spans="1:10">
      <c r="A2" s="27" t="s">
        <v>112</v>
      </c>
    </row>
    <row r="5" spans="1:10">
      <c r="A5" s="202" t="s">
        <v>164</v>
      </c>
      <c r="B5" s="202"/>
      <c r="C5" s="202"/>
      <c r="D5" s="202"/>
      <c r="E5" s="202"/>
      <c r="F5" s="202"/>
      <c r="H5" s="28" t="s">
        <v>53</v>
      </c>
      <c r="I5" s="29">
        <v>45792.650694444441</v>
      </c>
    </row>
    <row r="6" spans="1:10" ht="15.75" customHeight="1">
      <c r="A6" s="150" t="s">
        <v>33</v>
      </c>
      <c r="B6" s="150" t="s">
        <v>9</v>
      </c>
      <c r="C6" s="7" t="s">
        <v>3</v>
      </c>
      <c r="D6" s="198" t="s">
        <v>93</v>
      </c>
      <c r="E6" s="7" t="s">
        <v>1</v>
      </c>
      <c r="F6" s="131" t="s">
        <v>93</v>
      </c>
      <c r="H6" s="28" t="s">
        <v>54</v>
      </c>
      <c r="I6" s="29">
        <v>45796.987615740742</v>
      </c>
    </row>
    <row r="7" spans="1:10" ht="15.75" customHeight="1">
      <c r="A7" s="151"/>
      <c r="B7" s="151"/>
      <c r="C7" s="10">
        <v>150</v>
      </c>
      <c r="D7" s="198"/>
      <c r="E7" s="10">
        <v>18750</v>
      </c>
      <c r="F7" s="131"/>
      <c r="H7" s="28" t="s">
        <v>34</v>
      </c>
      <c r="I7" s="31">
        <f>(I6-I5)*24</f>
        <v>104.08611111121718</v>
      </c>
    </row>
    <row r="8" spans="1:10" ht="15.75" customHeight="1">
      <c r="A8" s="152"/>
      <c r="B8" s="152"/>
      <c r="C8" s="11" t="s">
        <v>6</v>
      </c>
      <c r="D8" s="198"/>
      <c r="E8" s="11" t="s">
        <v>6</v>
      </c>
      <c r="F8" s="131"/>
    </row>
    <row r="9" spans="1:10" ht="15.75" customHeight="1">
      <c r="A9" s="161">
        <v>45796</v>
      </c>
      <c r="B9" s="150">
        <v>9</v>
      </c>
      <c r="C9" s="13">
        <v>141.423</v>
      </c>
      <c r="D9" s="14">
        <f>ROUND((C9-C7)/C7*100,1)</f>
        <v>-5.7</v>
      </c>
      <c r="E9" s="13">
        <v>19865.439999999999</v>
      </c>
      <c r="F9" s="14">
        <f>ROUND((E9-E7)/E7*100,1)</f>
        <v>5.9</v>
      </c>
      <c r="G9"/>
      <c r="H9" s="20"/>
      <c r="I9"/>
      <c r="J9" s="20"/>
    </row>
    <row r="10" spans="1:10" ht="15.75" customHeight="1">
      <c r="A10" s="161"/>
      <c r="B10" s="151"/>
      <c r="C10" s="13">
        <v>148.19999999999999</v>
      </c>
      <c r="D10" s="14">
        <f>ROUND((C10-C7)/C7*100,1)</f>
        <v>-1.2</v>
      </c>
      <c r="E10" s="13">
        <v>19642.913</v>
      </c>
      <c r="F10" s="14">
        <f>ROUND((E10-E7)/E7*100,1)</f>
        <v>4.8</v>
      </c>
      <c r="G10"/>
      <c r="H10" s="20"/>
      <c r="I10"/>
      <c r="J10" s="20"/>
    </row>
    <row r="11" spans="1:10" ht="15.75" customHeight="1">
      <c r="A11" s="161"/>
      <c r="B11" s="151"/>
      <c r="C11" s="13">
        <v>155.06100000000001</v>
      </c>
      <c r="D11" s="14">
        <f>ROUND((C11-C7)/C7*100,1)</f>
        <v>3.4</v>
      </c>
      <c r="E11" s="13">
        <v>20603.955000000002</v>
      </c>
      <c r="F11" s="14">
        <f>ROUND((E11-E7)/E7*100,1)</f>
        <v>9.9</v>
      </c>
      <c r="G11"/>
      <c r="H11" s="20"/>
      <c r="I11"/>
      <c r="J11" s="20"/>
    </row>
    <row r="12" spans="1:10" ht="15.75" customHeight="1">
      <c r="A12" s="161"/>
      <c r="B12" s="151"/>
      <c r="C12" s="13">
        <v>147.589</v>
      </c>
      <c r="D12" s="14">
        <f>ROUND((C12-C7)/C7*100,1)</f>
        <v>-1.6</v>
      </c>
      <c r="E12" s="13">
        <v>20509.266</v>
      </c>
      <c r="F12" s="14">
        <f>ROUND((E12-E7)/E7*100,1)</f>
        <v>9.4</v>
      </c>
      <c r="G12"/>
      <c r="H12" s="20"/>
      <c r="I12"/>
      <c r="J12" s="20"/>
    </row>
    <row r="13" spans="1:10" ht="15.75" customHeight="1">
      <c r="A13" s="161"/>
      <c r="B13" s="151"/>
      <c r="C13" s="13">
        <v>147.589</v>
      </c>
      <c r="D13" s="14">
        <f>ROUND((C13-C7)/C7*100,1)</f>
        <v>-1.6</v>
      </c>
      <c r="E13" s="13">
        <v>20056.531999999999</v>
      </c>
      <c r="F13" s="14">
        <f>ROUND((E13-E7)/E7*100,1)</f>
        <v>7</v>
      </c>
      <c r="G13"/>
      <c r="H13" s="20"/>
      <c r="I13"/>
      <c r="J13" s="20"/>
    </row>
    <row r="14" spans="1:10" ht="15.75" customHeight="1">
      <c r="A14" s="161"/>
      <c r="B14" s="152"/>
      <c r="C14" s="13">
        <v>150.084</v>
      </c>
      <c r="D14" s="14">
        <f>ROUND((C14-C7)/C7*100,1)</f>
        <v>0.1</v>
      </c>
      <c r="E14" s="13">
        <v>20055.349999999999</v>
      </c>
      <c r="F14" s="14">
        <f>ROUND((E14-E7)/E7*100,1)</f>
        <v>7</v>
      </c>
      <c r="G14"/>
      <c r="H14" s="20"/>
      <c r="I14"/>
      <c r="J14" s="20"/>
    </row>
    <row r="15" spans="1:10" ht="15.75" customHeight="1">
      <c r="A15" s="7" t="s">
        <v>16</v>
      </c>
      <c r="B15" s="145"/>
      <c r="C15" s="15">
        <f>ROUND(AVERAGE(C9:C14),3)</f>
        <v>148.32400000000001</v>
      </c>
      <c r="D15" s="191"/>
      <c r="E15" s="15">
        <f>ROUND(AVERAGE(E9:E14),3)</f>
        <v>20122.242999999999</v>
      </c>
      <c r="F15" s="191"/>
      <c r="G15"/>
    </row>
    <row r="16" spans="1:10" ht="15.75" customHeight="1">
      <c r="A16" s="7" t="s">
        <v>4</v>
      </c>
      <c r="B16" s="146"/>
      <c r="C16" s="15">
        <f>ROUND(STDEV(C9:C14),3)</f>
        <v>4.4089999999999998</v>
      </c>
      <c r="D16" s="192"/>
      <c r="E16" s="15">
        <f>ROUND(STDEV(E9:E14),3)</f>
        <v>370.495</v>
      </c>
      <c r="F16" s="192"/>
      <c r="G16"/>
    </row>
    <row r="17" spans="1:7" ht="15.75" customHeight="1">
      <c r="A17" s="7" t="s">
        <v>44</v>
      </c>
      <c r="B17" s="146"/>
      <c r="C17" s="14">
        <f>ROUND(C16/C15*100,1)</f>
        <v>3</v>
      </c>
      <c r="D17" s="192"/>
      <c r="E17" s="14">
        <f>ROUND(E16/E15*100,1)</f>
        <v>1.8</v>
      </c>
      <c r="F17" s="192"/>
      <c r="G17"/>
    </row>
    <row r="18" spans="1:7" ht="15.75" customHeight="1">
      <c r="A18" s="7" t="s">
        <v>45</v>
      </c>
      <c r="B18" s="146"/>
      <c r="C18" s="14">
        <f>ROUND(C15/C7*100,1)</f>
        <v>98.9</v>
      </c>
      <c r="D18" s="192"/>
      <c r="E18" s="14">
        <f>ROUND(E15/E7*100,1)</f>
        <v>107.3</v>
      </c>
      <c r="F18" s="192"/>
      <c r="G18"/>
    </row>
    <row r="19" spans="1:7" ht="15.75" customHeight="1">
      <c r="A19" s="7" t="s">
        <v>5</v>
      </c>
      <c r="B19" s="147"/>
      <c r="C19" s="18">
        <v>6</v>
      </c>
      <c r="D19" s="193"/>
      <c r="E19" s="18">
        <v>6</v>
      </c>
      <c r="F19" s="193"/>
      <c r="G19"/>
    </row>
    <row r="20" spans="1:7" ht="14.25">
      <c r="G20"/>
    </row>
    <row r="22" spans="1:7">
      <c r="C22" s="32"/>
      <c r="E22" s="32"/>
    </row>
    <row r="24" spans="1:7">
      <c r="C24" s="33"/>
      <c r="E24" s="33"/>
    </row>
    <row r="25" spans="1:7">
      <c r="C25" s="33"/>
      <c r="E25" s="33"/>
    </row>
    <row r="26" spans="1:7">
      <c r="C26" s="20"/>
      <c r="E26" s="20"/>
    </row>
    <row r="27" spans="1:7">
      <c r="C27" s="20"/>
      <c r="E27" s="20"/>
    </row>
  </sheetData>
  <mergeCells count="10">
    <mergeCell ref="A5:F5"/>
    <mergeCell ref="F6:F8"/>
    <mergeCell ref="D15:D19"/>
    <mergeCell ref="F15:F19"/>
    <mergeCell ref="D6:D8"/>
    <mergeCell ref="B15:B19"/>
    <mergeCell ref="A9:A14"/>
    <mergeCell ref="B9:B14"/>
    <mergeCell ref="A6:A8"/>
    <mergeCell ref="B6:B8"/>
  </mergeCells>
  <phoneticPr fontId="4" type="noConversion"/>
  <conditionalFormatting sqref="H9:H14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J9:J14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2:K45"/>
  <sheetViews>
    <sheetView zoomScaleNormal="100" zoomScaleSheetLayoutView="100" workbookViewId="0">
      <selection activeCell="H30" sqref="H30"/>
    </sheetView>
  </sheetViews>
  <sheetFormatPr defaultColWidth="8.875" defaultRowHeight="13.5"/>
  <cols>
    <col min="1" max="7" width="12.125" style="20" customWidth="1"/>
    <col min="8" max="16384" width="8.875" style="20"/>
  </cols>
  <sheetData>
    <row r="2" spans="1:11">
      <c r="A2" s="194" t="s">
        <v>36</v>
      </c>
      <c r="B2" s="194"/>
      <c r="C2" s="194"/>
      <c r="D2" s="194"/>
      <c r="E2" s="194"/>
      <c r="F2" s="194"/>
    </row>
    <row r="3" spans="1:11" ht="13.5" customHeight="1">
      <c r="A3" s="19"/>
      <c r="B3" s="19"/>
      <c r="C3" s="19"/>
      <c r="D3" s="19"/>
      <c r="E3" s="19"/>
      <c r="F3" s="19"/>
    </row>
    <row r="4" spans="1:11" ht="13.5" customHeight="1">
      <c r="A4" s="4"/>
    </row>
    <row r="5" spans="1:11">
      <c r="A5" s="202" t="s">
        <v>165</v>
      </c>
      <c r="B5" s="202"/>
      <c r="C5" s="202"/>
      <c r="D5" s="202"/>
      <c r="E5" s="202"/>
      <c r="F5" s="202"/>
      <c r="G5" s="202"/>
    </row>
    <row r="6" spans="1:11" ht="15" customHeight="1">
      <c r="A6" s="195" t="s">
        <v>30</v>
      </c>
      <c r="B6" s="150" t="s">
        <v>9</v>
      </c>
      <c r="C6" s="150" t="s">
        <v>25</v>
      </c>
      <c r="D6" s="210" t="s">
        <v>31</v>
      </c>
      <c r="E6" s="210"/>
      <c r="F6" s="210"/>
      <c r="G6" s="210"/>
    </row>
    <row r="7" spans="1:11">
      <c r="A7" s="196"/>
      <c r="B7" s="151"/>
      <c r="C7" s="151"/>
      <c r="D7" s="21">
        <v>150</v>
      </c>
      <c r="E7" s="22" t="s">
        <v>29</v>
      </c>
      <c r="F7" s="21">
        <v>18750</v>
      </c>
      <c r="G7" s="23" t="s">
        <v>29</v>
      </c>
    </row>
    <row r="8" spans="1:11" ht="15" customHeight="1">
      <c r="A8" s="196"/>
      <c r="B8" s="151"/>
      <c r="C8" s="151"/>
      <c r="D8" s="152" t="s">
        <v>32</v>
      </c>
      <c r="E8" s="211"/>
      <c r="F8" s="152" t="s">
        <v>32</v>
      </c>
      <c r="G8" s="152"/>
    </row>
    <row r="9" spans="1:11" ht="15" customHeight="1">
      <c r="A9" s="197"/>
      <c r="B9" s="152"/>
      <c r="C9" s="152"/>
      <c r="D9" s="7" t="s">
        <v>28</v>
      </c>
      <c r="E9" s="7" t="s">
        <v>26</v>
      </c>
      <c r="F9" s="7" t="s">
        <v>28</v>
      </c>
      <c r="G9" s="7" t="s">
        <v>26</v>
      </c>
    </row>
    <row r="10" spans="1:11" ht="15" customHeight="1">
      <c r="A10" s="188">
        <v>45772</v>
      </c>
      <c r="B10" s="150">
        <v>2</v>
      </c>
      <c r="C10" s="7">
        <v>1</v>
      </c>
      <c r="D10" s="24">
        <v>4.0641999999999998E-2</v>
      </c>
      <c r="E10" s="24">
        <v>4.0800000000000003E-2</v>
      </c>
      <c r="F10" s="24">
        <v>5.0334310000000002</v>
      </c>
      <c r="G10" s="24">
        <v>4.961379</v>
      </c>
      <c r="H10"/>
      <c r="I10"/>
      <c r="J10"/>
      <c r="K10"/>
    </row>
    <row r="11" spans="1:11" ht="15" customHeight="1">
      <c r="A11" s="189"/>
      <c r="B11" s="151"/>
      <c r="C11" s="7">
        <v>2</v>
      </c>
      <c r="D11" s="24">
        <v>4.2448E-2</v>
      </c>
      <c r="E11" s="24">
        <v>4.2091999999999997E-2</v>
      </c>
      <c r="F11" s="24">
        <v>4.9579930000000001</v>
      </c>
      <c r="G11" s="24">
        <v>5.0345510000000004</v>
      </c>
      <c r="H11"/>
      <c r="I11"/>
      <c r="J11"/>
      <c r="K11"/>
    </row>
    <row r="12" spans="1:11" ht="15" customHeight="1">
      <c r="A12" s="189"/>
      <c r="B12" s="151"/>
      <c r="C12" s="7">
        <v>3</v>
      </c>
      <c r="D12" s="24">
        <v>3.9167E-2</v>
      </c>
      <c r="E12" s="24">
        <v>4.1215000000000002E-2</v>
      </c>
      <c r="F12" s="24">
        <v>4.9735019999999999</v>
      </c>
      <c r="G12" s="24">
        <v>4.835337</v>
      </c>
      <c r="H12"/>
      <c r="I12"/>
      <c r="J12"/>
      <c r="K12"/>
    </row>
    <row r="13" spans="1:11" ht="15" customHeight="1">
      <c r="A13" s="189"/>
      <c r="B13" s="151"/>
      <c r="C13" s="7">
        <v>4</v>
      </c>
      <c r="D13" s="24">
        <v>4.0120999999999997E-2</v>
      </c>
      <c r="E13" s="24">
        <v>4.0471E-2</v>
      </c>
      <c r="F13" s="24">
        <v>4.8651819999999999</v>
      </c>
      <c r="G13" s="24">
        <v>5.0058949999999998</v>
      </c>
      <c r="H13"/>
      <c r="I13"/>
      <c r="J13"/>
      <c r="K13"/>
    </row>
    <row r="14" spans="1:11" ht="15" customHeight="1">
      <c r="A14" s="189"/>
      <c r="B14" s="151"/>
      <c r="C14" s="7">
        <v>5</v>
      </c>
      <c r="D14" s="24">
        <v>4.1960999999999998E-2</v>
      </c>
      <c r="E14" s="24">
        <v>4.1027000000000001E-2</v>
      </c>
      <c r="F14" s="24">
        <v>4.9840920000000004</v>
      </c>
      <c r="G14" s="24">
        <v>5.0147839999999997</v>
      </c>
      <c r="H14"/>
      <c r="I14"/>
      <c r="J14"/>
      <c r="K14"/>
    </row>
    <row r="15" spans="1:11" ht="15" customHeight="1">
      <c r="A15" s="190"/>
      <c r="B15" s="152"/>
      <c r="C15" s="6">
        <v>6</v>
      </c>
      <c r="D15" s="24">
        <v>4.0585999999999997E-2</v>
      </c>
      <c r="E15" s="24">
        <v>4.1140999999999997E-2</v>
      </c>
      <c r="F15" s="24">
        <v>5.0223050000000002</v>
      </c>
      <c r="G15" s="24">
        <v>5.1055830000000002</v>
      </c>
      <c r="H15"/>
      <c r="I15"/>
      <c r="J15"/>
      <c r="K15"/>
    </row>
    <row r="16" spans="1:11" ht="15" customHeight="1">
      <c r="A16" s="7" t="s">
        <v>16</v>
      </c>
      <c r="B16" s="204"/>
      <c r="C16" s="205"/>
      <c r="D16" s="25">
        <f>ROUND(AVERAGE(D10:D15),6)</f>
        <v>4.0821000000000003E-2</v>
      </c>
      <c r="E16" s="25">
        <f>ROUND(AVERAGE(E10:E15),6)</f>
        <v>4.1124000000000001E-2</v>
      </c>
      <c r="F16" s="25">
        <f>ROUND(AVERAGE(F10:F15),6)</f>
        <v>4.9727509999999997</v>
      </c>
      <c r="G16" s="25">
        <f>ROUND(AVERAGE(G10:G15),6)</f>
        <v>4.9929220000000001</v>
      </c>
    </row>
    <row r="17" spans="1:7" ht="15" customHeight="1">
      <c r="A17" s="7" t="s">
        <v>4</v>
      </c>
      <c r="B17" s="206"/>
      <c r="C17" s="207"/>
      <c r="D17" s="25">
        <f>ROUND(STDEV(D10:D15),6)</f>
        <v>1.2049999999999999E-3</v>
      </c>
      <c r="E17" s="25">
        <f>ROUND(STDEV(E10:E15),6)</f>
        <v>5.4500000000000002E-4</v>
      </c>
      <c r="F17" s="25">
        <f>ROUND(STDEV(F10:F15),6)</f>
        <v>6.0093000000000001E-2</v>
      </c>
      <c r="G17" s="25">
        <f>ROUND(STDEV(G10:G15),6)</f>
        <v>9.0442999999999996E-2</v>
      </c>
    </row>
    <row r="18" spans="1:7" ht="15" customHeight="1">
      <c r="A18" s="7" t="s">
        <v>44</v>
      </c>
      <c r="B18" s="206"/>
      <c r="C18" s="207"/>
      <c r="D18" s="26">
        <f>ROUND(D17/D16*100,1)</f>
        <v>3</v>
      </c>
      <c r="E18" s="26">
        <f>ROUND(E17/E16*100,1)</f>
        <v>1.3</v>
      </c>
      <c r="F18" s="26">
        <f>ROUND(F17/F16*100,1)</f>
        <v>1.2</v>
      </c>
      <c r="G18" s="26">
        <f>ROUND(G17/G16*100,1)</f>
        <v>1.8</v>
      </c>
    </row>
    <row r="19" spans="1:7" ht="15" customHeight="1">
      <c r="A19" s="7" t="s">
        <v>46</v>
      </c>
      <c r="B19" s="208"/>
      <c r="C19" s="209"/>
      <c r="D19" s="203">
        <f>ROUND((D16-E16)/E16*100,1)</f>
        <v>-0.7</v>
      </c>
      <c r="E19" s="203"/>
      <c r="F19" s="203">
        <f>ROUND((F16-G16)/G16*100,1)</f>
        <v>-0.4</v>
      </c>
      <c r="G19" s="203"/>
    </row>
    <row r="44" spans="2:2">
      <c r="B44" s="4"/>
    </row>
    <row r="45" spans="2:2">
      <c r="B45" s="4"/>
    </row>
  </sheetData>
  <mergeCells count="13">
    <mergeCell ref="A2:F2"/>
    <mergeCell ref="A6:A9"/>
    <mergeCell ref="B6:B9"/>
    <mergeCell ref="C6:C9"/>
    <mergeCell ref="F8:G8"/>
    <mergeCell ref="D6:G6"/>
    <mergeCell ref="D8:E8"/>
    <mergeCell ref="A5:G5"/>
    <mergeCell ref="A10:A15"/>
    <mergeCell ref="B10:B15"/>
    <mergeCell ref="D19:E19"/>
    <mergeCell ref="B16:C19"/>
    <mergeCell ref="F19:G19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2:K15"/>
  <sheetViews>
    <sheetView zoomScaleNormal="100" zoomScaleSheetLayoutView="100" workbookViewId="0">
      <selection activeCell="Q36" sqref="Q36"/>
    </sheetView>
  </sheetViews>
  <sheetFormatPr defaultColWidth="8.875" defaultRowHeight="13.5"/>
  <cols>
    <col min="1" max="1" width="13.5" style="4" customWidth="1"/>
    <col min="2" max="2" width="14.375" style="4" customWidth="1"/>
    <col min="3" max="3" width="12.75" style="4" customWidth="1"/>
    <col min="4" max="4" width="11.625" style="4" customWidth="1"/>
    <col min="5" max="5" width="12.75" style="4" customWidth="1"/>
    <col min="6" max="6" width="11.625" style="4" customWidth="1"/>
    <col min="7" max="16384" width="8.875" style="4"/>
  </cols>
  <sheetData>
    <row r="2" spans="1:11">
      <c r="A2" s="4" t="s">
        <v>35</v>
      </c>
    </row>
    <row r="3" spans="1:11">
      <c r="A3" s="5"/>
      <c r="B3" s="5"/>
      <c r="C3" s="5"/>
    </row>
    <row r="4" spans="1:11" ht="15.75" customHeight="1"/>
    <row r="5" spans="1:11" s="9" customFormat="1">
      <c r="A5" s="150" t="s">
        <v>33</v>
      </c>
      <c r="B5" s="150" t="s">
        <v>9</v>
      </c>
      <c r="C5" s="7" t="s">
        <v>7</v>
      </c>
      <c r="D5" s="131" t="s">
        <v>93</v>
      </c>
      <c r="E5" s="8" t="s">
        <v>1</v>
      </c>
      <c r="F5" s="131" t="s">
        <v>93</v>
      </c>
    </row>
    <row r="6" spans="1:11" s="9" customFormat="1">
      <c r="A6" s="151"/>
      <c r="B6" s="151"/>
      <c r="C6" s="10">
        <v>150</v>
      </c>
      <c r="D6" s="131"/>
      <c r="E6" s="10">
        <v>18750</v>
      </c>
      <c r="F6" s="131"/>
    </row>
    <row r="7" spans="1:11" s="9" customFormat="1">
      <c r="A7" s="152"/>
      <c r="B7" s="152"/>
      <c r="C7" s="11" t="s">
        <v>6</v>
      </c>
      <c r="D7" s="131"/>
      <c r="E7" s="12" t="s">
        <v>6</v>
      </c>
      <c r="F7" s="131"/>
    </row>
    <row r="8" spans="1:11" s="9" customFormat="1">
      <c r="A8" s="135">
        <v>45792</v>
      </c>
      <c r="B8" s="150">
        <v>8</v>
      </c>
      <c r="C8" s="13">
        <v>155.709</v>
      </c>
      <c r="D8" s="14">
        <f>ROUND((C8-C6)/C6*100,1)</f>
        <v>3.8</v>
      </c>
      <c r="E8" s="13">
        <v>19796.871999999999</v>
      </c>
      <c r="F8" s="14">
        <f>ROUND((E8-E6)/E6*100,1)</f>
        <v>5.6</v>
      </c>
    </row>
    <row r="9" spans="1:11" s="9" customFormat="1">
      <c r="A9" s="135"/>
      <c r="B9" s="151"/>
      <c r="C9" s="13">
        <v>152.053</v>
      </c>
      <c r="D9" s="14">
        <f>ROUND((C9-C6)/C6*100,1)</f>
        <v>1.4</v>
      </c>
      <c r="E9" s="13">
        <v>20671.182000000001</v>
      </c>
      <c r="F9" s="14">
        <f>ROUND((E9-E6)/E6*100,1)</f>
        <v>10.199999999999999</v>
      </c>
    </row>
    <row r="10" spans="1:11" s="9" customFormat="1">
      <c r="A10" s="135"/>
      <c r="B10" s="151"/>
      <c r="C10" s="13">
        <v>152.167</v>
      </c>
      <c r="D10" s="14">
        <f>ROUND((C10-C6)/C6*100,1)</f>
        <v>1.4</v>
      </c>
      <c r="E10" s="13">
        <v>20043.647000000001</v>
      </c>
      <c r="F10" s="14">
        <f>ROUND((E10-E6)/E6*100,1)</f>
        <v>6.9</v>
      </c>
    </row>
    <row r="11" spans="1:11" s="9" customFormat="1">
      <c r="A11" s="7" t="s">
        <v>16</v>
      </c>
      <c r="B11" s="145"/>
      <c r="C11" s="15">
        <f>ROUND(AVERAGE(C8:C10),3)</f>
        <v>153.31</v>
      </c>
      <c r="D11" s="191"/>
      <c r="E11" s="15">
        <f>ROUND(AVERAGE(E8:E10),3)</f>
        <v>20170.566999999999</v>
      </c>
      <c r="F11" s="191"/>
      <c r="I11" s="16"/>
      <c r="K11" s="16"/>
    </row>
    <row r="12" spans="1:11" s="9" customFormat="1">
      <c r="A12" s="7" t="s">
        <v>4</v>
      </c>
      <c r="B12" s="146"/>
      <c r="C12" s="15">
        <f>ROUND(STDEV(C8:C10),3)</f>
        <v>2.0790000000000002</v>
      </c>
      <c r="D12" s="192"/>
      <c r="E12" s="15">
        <f>ROUND(STDEV(E8:E10),3)</f>
        <v>450.762</v>
      </c>
      <c r="F12" s="192"/>
      <c r="I12" s="16"/>
      <c r="K12" s="16"/>
    </row>
    <row r="13" spans="1:11" s="9" customFormat="1">
      <c r="A13" s="7" t="s">
        <v>44</v>
      </c>
      <c r="B13" s="146"/>
      <c r="C13" s="14">
        <f>ROUND(C12/C11*100,1)</f>
        <v>1.4</v>
      </c>
      <c r="D13" s="192"/>
      <c r="E13" s="14">
        <f>ROUND(E12/E11*100,1)</f>
        <v>2.2000000000000002</v>
      </c>
      <c r="F13" s="192"/>
      <c r="I13" s="17"/>
      <c r="K13" s="17"/>
    </row>
    <row r="14" spans="1:11" s="9" customFormat="1">
      <c r="A14" s="7" t="s">
        <v>45</v>
      </c>
      <c r="B14" s="146"/>
      <c r="C14" s="14">
        <f>ROUND(C11/C6*100,1)</f>
        <v>102.2</v>
      </c>
      <c r="D14" s="192"/>
      <c r="E14" s="14">
        <f>ROUND(E11/E6*100,1)</f>
        <v>107.6</v>
      </c>
      <c r="F14" s="192"/>
      <c r="I14" s="17"/>
      <c r="K14" s="17"/>
    </row>
    <row r="15" spans="1:11" s="9" customFormat="1">
      <c r="A15" s="7" t="s">
        <v>5</v>
      </c>
      <c r="B15" s="147"/>
      <c r="C15" s="18">
        <v>3</v>
      </c>
      <c r="D15" s="193"/>
      <c r="E15" s="18">
        <v>3</v>
      </c>
      <c r="F15" s="193"/>
    </row>
  </sheetData>
  <mergeCells count="9">
    <mergeCell ref="A5:A7"/>
    <mergeCell ref="B5:B7"/>
    <mergeCell ref="D5:D7"/>
    <mergeCell ref="F5:F7"/>
    <mergeCell ref="F11:F15"/>
    <mergeCell ref="A8:A10"/>
    <mergeCell ref="B8:B10"/>
    <mergeCell ref="B11:B15"/>
    <mergeCell ref="D11:D1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&amp;CSS24546BV02生物分析方法学验证数据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表1_schedule</vt:lpstr>
      <vt:lpstr>表4_Selectivity</vt:lpstr>
      <vt:lpstr>表5_特异性</vt:lpstr>
      <vt:lpstr>表6_ME</vt:lpstr>
      <vt:lpstr>表9_Inter QC</vt:lpstr>
      <vt:lpstr>表11_Recovery</vt:lpstr>
      <vt:lpstr>表12_IS Recov</vt:lpstr>
      <vt:lpstr>表13_Dilution</vt:lpstr>
      <vt:lpstr>表18_ST</vt:lpstr>
      <vt:lpstr>表19_FT</vt:lpstr>
      <vt:lpstr>表20_PSS</vt:lpstr>
      <vt:lpstr>表22_Blood</vt:lpstr>
      <vt:lpstr>表23_溶血效应</vt:lpstr>
      <vt:lpstr>表1_schedule!Print_Area</vt:lpstr>
      <vt:lpstr>表11_Recovery!Print_Area</vt:lpstr>
      <vt:lpstr>'表12_IS Recov'!Print_Area</vt:lpstr>
      <vt:lpstr>表13_Dilution!Print_Area</vt:lpstr>
      <vt:lpstr>表18_ST!Print_Area</vt:lpstr>
      <vt:lpstr>表19_FT!Print_Area</vt:lpstr>
      <vt:lpstr>表20_PSS!Print_Area</vt:lpstr>
      <vt:lpstr>表23_溶血效应!Print_Area</vt:lpstr>
      <vt:lpstr>表4_Selectivity!Print_Area</vt:lpstr>
      <vt:lpstr>表5_特异性!Print_Area</vt:lpstr>
      <vt:lpstr>表6_ME!Print_Area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张茹-1</cp:lastModifiedBy>
  <cp:lastPrinted>2019-09-17T03:14:27Z</cp:lastPrinted>
  <dcterms:created xsi:type="dcterms:W3CDTF">2016-03-17T02:40:20Z</dcterms:created>
  <dcterms:modified xsi:type="dcterms:W3CDTF">2025-05-21T09:40:04Z</dcterms:modified>
</cp:coreProperties>
</file>