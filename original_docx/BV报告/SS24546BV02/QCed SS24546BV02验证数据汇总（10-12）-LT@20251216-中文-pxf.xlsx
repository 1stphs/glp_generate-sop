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/>
  <mc:AlternateContent xmlns:mc="http://schemas.openxmlformats.org/markup-compatibility/2006">
    <mc:Choice Requires="x15">
      <x15ac:absPath xmlns:x15ac="http://schemas.microsoft.com/office/spreadsheetml/2010/11/ac" url="Y:\43-试验电子数据的暂存目录\01-生物分析一部\02-QC\01-QCed data\2024年项目\SS24546\验证\SS24546BV02\"/>
    </mc:Choice>
  </mc:AlternateContent>
  <xr:revisionPtr revIDLastSave="0" documentId="13_ncr:1_{A5006AA8-74E4-4C18-B6D1-ADE631CBABDE}" xr6:coauthVersionLast="47" xr6:coauthVersionMax="47" xr10:uidLastSave="{00000000-0000-0000-0000-000000000000}"/>
  <bookViews>
    <workbookView xWindow="1695" yWindow="210" windowWidth="13755" windowHeight="15165" tabRatio="852" firstSheet="12" activeTab="16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7_Regression" sheetId="13" r:id="rId10"/>
    <sheet name="表8_curve" sheetId="14" r:id="rId11"/>
    <sheet name="表10 QC (除准确度精密度分析批）" sheetId="42" r:id="rId12"/>
    <sheet name="表14_stock ST" sheetId="54" r:id="rId13"/>
    <sheet name="表15_spike ST" sheetId="52" r:id="rId14"/>
    <sheet name="表16_stock LT" sheetId="55" r:id="rId15"/>
    <sheet name="表17_spike LT" sheetId="53" r:id="rId16"/>
    <sheet name="表21_LTS" sheetId="39" r:id="rId17"/>
    <sheet name="分析天平" sheetId="46" r:id="rId18"/>
    <sheet name="（选择性图谱）空白基质图谱" sheetId="43" r:id="rId19"/>
    <sheet name="（选择性图谱）最低定量限图谱" sheetId="44" r:id="rId20"/>
    <sheet name="标准曲线" sheetId="45" r:id="rId21"/>
  </sheets>
  <definedNames>
    <definedName name="_xlnm.Print_Area" localSheetId="3">'2.5试剂'!$A$1:$C$13</definedName>
    <definedName name="_xlnm.Print_Area" localSheetId="6">表1_schedule!$A$1:$I$25</definedName>
    <definedName name="_xlnm.Print_Area" localSheetId="14">'表16_stock LT'!$A$1:$M$36</definedName>
    <definedName name="_xlnm.Print_Area" localSheetId="7">表2_SST!$A$1:$E$12</definedName>
    <definedName name="_xlnm.Print_Area" localSheetId="9">表7_Regression!$A$1:$G$30</definedName>
  </definedNames>
  <calcPr calcId="191029"/>
</workbook>
</file>

<file path=xl/calcChain.xml><?xml version="1.0" encoding="utf-8"?>
<calcChain xmlns="http://schemas.openxmlformats.org/spreadsheetml/2006/main">
  <c r="G19" i="53" l="1"/>
  <c r="F19" i="53"/>
  <c r="F20" i="53" s="1"/>
  <c r="G18" i="53"/>
  <c r="F18" i="53"/>
  <c r="G19" i="52"/>
  <c r="G20" i="52" s="1"/>
  <c r="F19" i="52"/>
  <c r="G18" i="52"/>
  <c r="F18" i="52"/>
  <c r="E35" i="53"/>
  <c r="E34" i="53"/>
  <c r="E33" i="53"/>
  <c r="E32" i="53"/>
  <c r="E31" i="53"/>
  <c r="E30" i="53"/>
  <c r="E29" i="53"/>
  <c r="E28" i="53"/>
  <c r="E27" i="53"/>
  <c r="E26" i="53"/>
  <c r="E25" i="53"/>
  <c r="E24" i="53"/>
  <c r="E35" i="52"/>
  <c r="E34" i="52"/>
  <c r="E33" i="52"/>
  <c r="E32" i="52"/>
  <c r="E31" i="52"/>
  <c r="E30" i="52"/>
  <c r="E29" i="52"/>
  <c r="E28" i="52"/>
  <c r="E27" i="52"/>
  <c r="E26" i="52"/>
  <c r="E25" i="52"/>
  <c r="E24" i="52"/>
  <c r="G20" i="53" l="1"/>
  <c r="F20" i="52"/>
  <c r="F21" i="53"/>
  <c r="F21" i="52"/>
  <c r="L6" i="55"/>
  <c r="L6" i="53"/>
  <c r="I6" i="54" l="1"/>
  <c r="J6" i="52"/>
  <c r="B19" i="55"/>
  <c r="B19" i="54"/>
  <c r="G16" i="10"/>
  <c r="I17" i="10" s="1"/>
  <c r="F16" i="10"/>
  <c r="H17" i="10" s="1"/>
  <c r="H16" i="10" l="1"/>
  <c r="I16" i="10"/>
  <c r="E36" i="55" l="1"/>
  <c r="E35" i="55"/>
  <c r="E34" i="55"/>
  <c r="E33" i="55"/>
  <c r="E32" i="55"/>
  <c r="E31" i="55"/>
  <c r="E30" i="55"/>
  <c r="E29" i="55"/>
  <c r="E28" i="55"/>
  <c r="E27" i="55"/>
  <c r="E26" i="55"/>
  <c r="E25" i="55"/>
  <c r="E19" i="55"/>
  <c r="D19" i="55"/>
  <c r="C19" i="55"/>
  <c r="E18" i="55"/>
  <c r="D18" i="55"/>
  <c r="C18" i="55"/>
  <c r="B18" i="55"/>
  <c r="B20" i="55" s="1"/>
  <c r="E35" i="54"/>
  <c r="E34" i="54"/>
  <c r="E33" i="54"/>
  <c r="E32" i="54"/>
  <c r="E31" i="54"/>
  <c r="E30" i="54"/>
  <c r="E29" i="54"/>
  <c r="E28" i="54"/>
  <c r="E27" i="54"/>
  <c r="E26" i="54"/>
  <c r="E25" i="54"/>
  <c r="E24" i="54"/>
  <c r="E19" i="54"/>
  <c r="D19" i="54"/>
  <c r="C19" i="54"/>
  <c r="E18" i="54"/>
  <c r="D18" i="54"/>
  <c r="C18" i="54"/>
  <c r="B18" i="54"/>
  <c r="B20" i="54" s="1"/>
  <c r="D20" i="54" l="1"/>
  <c r="E20" i="54"/>
  <c r="D21" i="55"/>
  <c r="B21" i="55"/>
  <c r="D20" i="55"/>
  <c r="C20" i="55"/>
  <c r="E20" i="55"/>
  <c r="D21" i="54"/>
  <c r="B21" i="54"/>
  <c r="C20" i="54"/>
  <c r="E19" i="53"/>
  <c r="D19" i="53"/>
  <c r="C19" i="53"/>
  <c r="B19" i="53"/>
  <c r="E18" i="53"/>
  <c r="D18" i="53"/>
  <c r="C18" i="53"/>
  <c r="B18" i="53"/>
  <c r="E19" i="52"/>
  <c r="D19" i="52"/>
  <c r="C19" i="52"/>
  <c r="C20" i="52" s="1"/>
  <c r="B19" i="52"/>
  <c r="E18" i="52"/>
  <c r="D18" i="52"/>
  <c r="C18" i="52"/>
  <c r="B18" i="52"/>
  <c r="D21" i="53" l="1"/>
  <c r="D20" i="52"/>
  <c r="E20" i="52"/>
  <c r="B21" i="53"/>
  <c r="E20" i="53"/>
  <c r="D21" i="52"/>
  <c r="B20" i="52"/>
  <c r="B21" i="52"/>
  <c r="B20" i="53"/>
  <c r="C20" i="53"/>
  <c r="D20" i="53"/>
  <c r="G14" i="10" l="1"/>
  <c r="I15" i="10" s="1"/>
  <c r="F14" i="10"/>
  <c r="H14" i="10" s="1"/>
  <c r="I14" i="10" l="1"/>
  <c r="H15" i="10"/>
  <c r="G8" i="10" l="1"/>
  <c r="G10" i="10"/>
  <c r="G12" i="10"/>
  <c r="G6" i="10"/>
  <c r="F6" i="10"/>
  <c r="I13" i="10" l="1"/>
  <c r="I12" i="10"/>
  <c r="I7" i="10"/>
  <c r="I6" i="10"/>
  <c r="I11" i="10"/>
  <c r="I10" i="10"/>
  <c r="I9" i="10"/>
  <c r="I8" i="10"/>
  <c r="F12" i="10" l="1"/>
  <c r="F10" i="10"/>
  <c r="F8" i="10"/>
  <c r="E16" i="39"/>
  <c r="C16" i="39"/>
  <c r="E15" i="39"/>
  <c r="E18" i="39" s="1"/>
  <c r="C15" i="39"/>
  <c r="C18" i="39" s="1"/>
  <c r="F14" i="39"/>
  <c r="D14" i="39"/>
  <c r="F13" i="39"/>
  <c r="D13" i="39"/>
  <c r="F12" i="39"/>
  <c r="D12" i="39"/>
  <c r="F11" i="39"/>
  <c r="D11" i="39"/>
  <c r="F10" i="39"/>
  <c r="D10" i="39"/>
  <c r="F9" i="39"/>
  <c r="D9" i="39"/>
  <c r="C17" i="39" l="1"/>
  <c r="E17" i="39"/>
  <c r="H6" i="10"/>
  <c r="H7" i="10"/>
  <c r="H9" i="10"/>
  <c r="H8" i="10"/>
  <c r="H10" i="10"/>
  <c r="H11" i="10"/>
  <c r="H13" i="10"/>
  <c r="H12" i="10"/>
  <c r="K7" i="39" l="1"/>
</calcChain>
</file>

<file path=xl/sharedStrings.xml><?xml version="1.0" encoding="utf-8"?>
<sst xmlns="http://schemas.openxmlformats.org/spreadsheetml/2006/main" count="630" uniqueCount="369">
  <si>
    <t>内标</t>
  </si>
  <si>
    <t>待测物</t>
  </si>
  <si>
    <t>LLOQ</t>
  </si>
  <si>
    <t>HQC</t>
  </si>
  <si>
    <t>LQC</t>
  </si>
  <si>
    <t>SD</t>
  </si>
  <si>
    <t>ULOQ</t>
  </si>
  <si>
    <t>n</t>
  </si>
  <si>
    <t>STD1</t>
  </si>
  <si>
    <t>分析方法</t>
  </si>
  <si>
    <t>设备名称</t>
  </si>
  <si>
    <t>制造商</t>
  </si>
  <si>
    <t>型号</t>
  </si>
  <si>
    <t>离子源</t>
  </si>
  <si>
    <t>检测器-串联质谱</t>
  </si>
  <si>
    <t>离子化方式</t>
  </si>
  <si>
    <t>扫描方式</t>
  </si>
  <si>
    <t>流动相及流速</t>
  </si>
  <si>
    <t>柱温</t>
  </si>
  <si>
    <t>样品的生物基质</t>
  </si>
  <si>
    <t>抗凝剂</t>
  </si>
  <si>
    <t>生物基质来源</t>
  </si>
  <si>
    <t>样品预处理方法</t>
  </si>
  <si>
    <t>进样量</t>
  </si>
  <si>
    <t>定量指标</t>
  </si>
  <si>
    <t>回归方程</t>
  </si>
  <si>
    <t>权重系数</t>
  </si>
  <si>
    <t>线性范围</t>
  </si>
  <si>
    <t>最低定量限（LLOQ）</t>
  </si>
  <si>
    <t>最低质控浓度（LLOQ QC）</t>
  </si>
  <si>
    <t>y = ax + b</t>
  </si>
  <si>
    <t>STD2</t>
  </si>
  <si>
    <t>STD3</t>
  </si>
  <si>
    <t>STD4</t>
  </si>
  <si>
    <t>STD5</t>
  </si>
  <si>
    <t>STD6</t>
  </si>
  <si>
    <t>STD7</t>
  </si>
  <si>
    <t>ng/mL</t>
  </si>
  <si>
    <t>STD8</t>
  </si>
  <si>
    <t>电喷雾离子化正离子模式</t>
  </si>
  <si>
    <t>多反应监测</t>
  </si>
  <si>
    <t xml:space="preserve">AB Sciex </t>
  </si>
  <si>
    <t>Turbo-V电喷雾离子源</t>
  </si>
  <si>
    <t>高效液相色谱</t>
  </si>
  <si>
    <t>最大分析批进样针数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</si>
  <si>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</si>
  <si>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</si>
  <si>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</si>
  <si>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</si>
  <si>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</si>
  <si>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</si>
  <si>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</si>
  <si>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检测日期</t>
    </r>
  </si>
  <si>
    <r>
      <rPr>
        <sz val="10.5"/>
        <color theme="1"/>
        <rFont val="宋体"/>
        <family val="3"/>
        <charset val="134"/>
      </rPr>
      <t>斜率</t>
    </r>
  </si>
  <si>
    <r>
      <rPr>
        <sz val="10.5"/>
        <color theme="1"/>
        <rFont val="宋体"/>
        <family val="3"/>
        <charset val="134"/>
      </rPr>
      <t>截距</t>
    </r>
  </si>
  <si>
    <r>
      <rPr>
        <sz val="10.5"/>
        <color theme="1"/>
        <rFont val="宋体"/>
        <family val="3"/>
        <charset val="134"/>
      </rPr>
      <t>平均值</t>
    </r>
    <phoneticPr fontId="3" type="noConversion"/>
  </si>
  <si>
    <r>
      <t>R</t>
    </r>
    <r>
      <rPr>
        <vertAlign val="superscript"/>
        <sz val="10.5"/>
        <color indexed="8"/>
        <rFont val="Times New Roman"/>
        <family val="1"/>
      </rPr>
      <t>2</t>
    </r>
  </si>
  <si>
    <r>
      <rPr>
        <sz val="10.5"/>
        <color theme="1"/>
        <rFont val="宋体"/>
        <family val="3"/>
        <charset val="134"/>
      </rPr>
      <t>检测批次编号</t>
    </r>
  </si>
  <si>
    <r>
      <rPr>
        <sz val="10.5"/>
        <color theme="1"/>
        <rFont val="宋体"/>
        <family val="3"/>
        <charset val="134"/>
      </rPr>
      <t>平均值</t>
    </r>
  </si>
  <si>
    <t>ng/mL</t>
    <phoneticPr fontId="3" type="noConversion"/>
  </si>
  <si>
    <r>
      <rPr>
        <sz val="10.5"/>
        <rFont val="宋体"/>
        <family val="3"/>
        <charset val="134"/>
      </rPr>
      <t>检测峰面积比</t>
    </r>
  </si>
  <si>
    <r>
      <rPr>
        <sz val="10.5"/>
        <rFont val="宋体"/>
        <family val="3"/>
        <charset val="134"/>
      </rPr>
      <t>稳定性考察样品</t>
    </r>
  </si>
  <si>
    <r>
      <t xml:space="preserve">2.1 </t>
    </r>
    <r>
      <rPr>
        <sz val="10.5"/>
        <rFont val="宋体"/>
        <family val="3"/>
        <charset val="134"/>
      </rPr>
      <t>标准品</t>
    </r>
    <phoneticPr fontId="3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</si>
  <si>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3" type="noConversion"/>
  </si>
  <si>
    <r>
      <t xml:space="preserve">2.5 </t>
    </r>
    <r>
      <rPr>
        <sz val="10.5"/>
        <color theme="1"/>
        <rFont val="DengXian"/>
        <family val="2"/>
      </rPr>
      <t>试剂</t>
    </r>
    <phoneticPr fontId="19" type="noConversion"/>
  </si>
  <si>
    <r>
      <rPr>
        <sz val="10.5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</si>
  <si>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</si>
  <si>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储备液短期稳定性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</si>
  <si>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</si>
  <si>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工作液长期稳定性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</si>
  <si>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</si>
  <si>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待测物残留</t>
    </r>
    <phoneticPr fontId="3" type="noConversion"/>
  </si>
  <si>
    <r>
      <rPr>
        <sz val="10.5"/>
        <rFont val="宋体"/>
        <family val="3"/>
        <charset val="134"/>
      </rPr>
      <t>选择性</t>
    </r>
    <phoneticPr fontId="3" type="noConversion"/>
  </si>
  <si>
    <r>
      <rPr>
        <sz val="10.5"/>
        <rFont val="宋体"/>
        <family val="3"/>
        <charset val="134"/>
      </rPr>
      <t>稀释倍数</t>
    </r>
    <phoneticPr fontId="3" type="noConversion"/>
  </si>
  <si>
    <r>
      <rPr>
        <sz val="10.5"/>
        <rFont val="宋体"/>
        <family val="3"/>
        <charset val="134"/>
      </rPr>
      <t>储备液长期稳定性</t>
    </r>
    <phoneticPr fontId="3" type="noConversion"/>
  </si>
  <si>
    <r>
      <rPr>
        <sz val="10.5"/>
        <rFont val="宋体"/>
        <family val="3"/>
        <charset val="134"/>
      </rPr>
      <t>生物样品前处理过程中的短期稳定性</t>
    </r>
    <phoneticPr fontId="3" type="noConversion"/>
  </si>
  <si>
    <r>
      <rPr>
        <sz val="10.5"/>
        <rFont val="宋体"/>
        <family val="3"/>
        <charset val="134"/>
      </rPr>
      <t>处理后样品的稳定性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/>
    </r>
    <phoneticPr fontId="3" type="noConversion"/>
  </si>
  <si>
    <r>
      <rPr>
        <sz val="10.5"/>
        <rFont val="宋体"/>
        <family val="3"/>
        <charset val="134"/>
      </rPr>
      <t>生物基质中待测物的长期稳定性</t>
    </r>
    <phoneticPr fontId="3" type="noConversion"/>
  </si>
  <si>
    <r>
      <rPr>
        <sz val="10.5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</si>
  <si>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3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</si>
  <si>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3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</si>
  <si>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3" type="noConversion"/>
  </si>
  <si>
    <t>是</t>
    <phoneticPr fontId="3" type="noConversion"/>
  </si>
  <si>
    <r>
      <rPr>
        <sz val="10.5"/>
        <rFont val="宋体"/>
        <family val="3"/>
        <charset val="134"/>
      </rPr>
      <t>参比样品</t>
    </r>
    <phoneticPr fontId="3" type="noConversion"/>
  </si>
  <si>
    <r>
      <rPr>
        <sz val="10.5"/>
        <color theme="1"/>
        <rFont val="宋体"/>
        <family val="3"/>
        <charset val="134"/>
      </rPr>
      <t>检测日期</t>
    </r>
    <phoneticPr fontId="3" type="noConversion"/>
  </si>
  <si>
    <t>20μL</t>
    <phoneticPr fontId="3" type="noConversion"/>
  </si>
  <si>
    <r>
      <rPr>
        <sz val="10.5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3" type="noConversion"/>
  </si>
  <si>
    <t>表3 ：批量样品检测过程的残留</t>
  </si>
  <si>
    <t>表21：生物基质中待测物的长期稳定性</t>
  </si>
  <si>
    <t>表17 ：工作液长期稳定性（ULOQ, LLOQ和内标工作液稳定性）</t>
  </si>
  <si>
    <t>表15：工作液短期稳定性（ULOQ,LLOQ和内标工作液稳定性）</t>
  </si>
  <si>
    <t>表10：质控样品浓度数据汇总（除准确度精密度分析批外）</t>
  </si>
  <si>
    <t>表8：标准曲线的回算浓度</t>
  </si>
  <si>
    <t>表7：标准曲线参数汇总</t>
  </si>
  <si>
    <t>拟合方程：峰面积比= 斜率 ×浓度 + 截距， 权重：1/（浓度×浓度）</t>
  </si>
  <si>
    <t>表2 ：系统适用性</t>
  </si>
  <si>
    <t>表1：批量样品检测情况列表</t>
  </si>
  <si>
    <t>准确度偏差 (%)</t>
  </si>
  <si>
    <t>差异 (%)</t>
  </si>
  <si>
    <t>CV（%)</t>
  </si>
  <si>
    <t>1/（x*x）</t>
  </si>
  <si>
    <t>质控浓度（QC）</t>
  </si>
  <si>
    <t>CV（%）</t>
  </si>
  <si>
    <t>准确度（%）</t>
  </si>
  <si>
    <t>理论浓度（单位）</t>
  </si>
  <si>
    <t>准确度偏差（%）</t>
  </si>
  <si>
    <t>LLOQ（ng/mL）</t>
  </si>
  <si>
    <t>ULOQ
(ng/mL）</t>
  </si>
  <si>
    <t>待测物残留率（%）</t>
  </si>
  <si>
    <t>内标残留率（%）</t>
  </si>
  <si>
    <t>40.0°C</t>
  </si>
  <si>
    <r>
      <rPr>
        <sz val="10.5"/>
        <rFont val="宋体"/>
        <family val="3"/>
        <charset val="134"/>
      </rPr>
      <t>色谱柱型号及所用序列号</t>
    </r>
    <phoneticPr fontId="3" type="noConversion"/>
  </si>
  <si>
    <r>
      <rPr>
        <sz val="10.5"/>
        <rFont val="宋体"/>
        <family val="3"/>
        <charset val="134"/>
      </rPr>
      <t>系统适用性</t>
    </r>
    <phoneticPr fontId="3" type="noConversion"/>
  </si>
  <si>
    <r>
      <rPr>
        <sz val="10.5"/>
        <rFont val="宋体"/>
        <family val="3"/>
        <charset val="134"/>
      </rPr>
      <t>特异性</t>
    </r>
    <phoneticPr fontId="3" type="noConversion"/>
  </si>
  <si>
    <r>
      <rPr>
        <sz val="11"/>
        <color theme="1"/>
        <rFont val="DengXian"/>
        <family val="2"/>
      </rPr>
      <t>分析天平编号：</t>
    </r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</si>
  <si>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</si>
  <si>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长期稳定性样品配置日期：</t>
    </r>
  </si>
  <si>
    <r>
      <rPr>
        <sz val="10.5"/>
        <rFont val="宋体"/>
        <family val="3"/>
        <charset val="134"/>
      </rPr>
      <t>长期稳定性样品处理日期：</t>
    </r>
  </si>
  <si>
    <r>
      <rPr>
        <sz val="10.5"/>
        <rFont val="宋体"/>
        <family val="3"/>
        <charset val="134"/>
      </rPr>
      <t>长期稳定性样品放置时间（天）：</t>
    </r>
  </si>
  <si>
    <r>
      <rPr>
        <sz val="10.5"/>
        <rFont val="宋体"/>
        <family val="3"/>
        <charset val="134"/>
      </rPr>
      <t>工作液开始放置时间：</t>
    </r>
  </si>
  <si>
    <r>
      <rPr>
        <sz val="10.5"/>
        <rFont val="宋体"/>
        <family val="3"/>
        <charset val="134"/>
      </rPr>
      <t>工作液放置结束时间：</t>
    </r>
  </si>
  <si>
    <r>
      <rPr>
        <sz val="10.5"/>
        <color theme="1"/>
        <rFont val="宋体"/>
        <family val="3"/>
        <charset val="134"/>
      </rPr>
      <t>检测批次编号</t>
    </r>
    <phoneticPr fontId="3" type="noConversion"/>
  </si>
  <si>
    <r>
      <rPr>
        <sz val="10.5"/>
        <rFont val="宋体"/>
        <family val="3"/>
        <charset val="134"/>
      </rPr>
      <t>检测批次编号</t>
    </r>
    <phoneticPr fontId="3" type="noConversion"/>
  </si>
  <si>
    <r>
      <rPr>
        <sz val="10.5"/>
        <rFont val="宋体"/>
        <family val="3"/>
        <charset val="134"/>
      </rPr>
      <t>待测物保留时间</t>
    </r>
    <phoneticPr fontId="3" type="noConversion"/>
  </si>
  <si>
    <r>
      <rPr>
        <sz val="10.5"/>
        <rFont val="宋体"/>
        <family val="3"/>
        <charset val="134"/>
      </rPr>
      <t>提取日期</t>
    </r>
    <phoneticPr fontId="3" type="noConversion"/>
  </si>
  <si>
    <r>
      <rPr>
        <sz val="10.5"/>
        <rFont val="宋体"/>
        <family val="3"/>
        <charset val="134"/>
      </rPr>
      <t>设备编号</t>
    </r>
    <phoneticPr fontId="3" type="noConversion"/>
  </si>
  <si>
    <r>
      <rPr>
        <sz val="10.5"/>
        <rFont val="宋体"/>
        <family val="3"/>
        <charset val="134"/>
      </rPr>
      <t>备注：</t>
    </r>
  </si>
  <si>
    <r>
      <rPr>
        <sz val="10.5"/>
        <rFont val="宋体"/>
        <family val="3"/>
        <charset val="134"/>
      </rPr>
      <t>化合物名称</t>
    </r>
    <r>
      <rPr>
        <sz val="10.5"/>
        <rFont val="Times New Roman"/>
        <family val="1"/>
      </rPr>
      <t> </t>
    </r>
  </si>
  <si>
    <r>
      <rPr>
        <sz val="10.5"/>
        <rFont val="宋体"/>
        <family val="3"/>
        <charset val="134"/>
      </rPr>
      <t>化合物代码</t>
    </r>
  </si>
  <si>
    <r>
      <rPr>
        <sz val="10.5"/>
        <rFont val="宋体"/>
        <family val="3"/>
        <charset val="134"/>
      </rPr>
      <t>标准品登记号</t>
    </r>
  </si>
  <si>
    <r>
      <rPr>
        <sz val="10.5"/>
        <rFont val="宋体"/>
        <family val="3"/>
        <charset val="134"/>
      </rPr>
      <t>批号</t>
    </r>
  </si>
  <si>
    <r>
      <rPr>
        <sz val="10.5"/>
        <rFont val="宋体"/>
        <family val="3"/>
        <charset val="134"/>
      </rPr>
      <t>含量</t>
    </r>
  </si>
  <si>
    <r>
      <rPr>
        <sz val="10.5"/>
        <rFont val="宋体"/>
        <family val="3"/>
        <charset val="134"/>
      </rPr>
      <t>保存条件</t>
    </r>
    <phoneticPr fontId="3" type="noConversion"/>
  </si>
  <si>
    <r>
      <rPr>
        <sz val="10.5"/>
        <rFont val="宋体"/>
        <family val="3"/>
        <charset val="134"/>
      </rPr>
      <t>来源</t>
    </r>
  </si>
  <si>
    <t>2%溶血符合接受标准</t>
    <phoneticPr fontId="3" type="noConversion"/>
  </si>
  <si>
    <t>EQ202003</t>
    <phoneticPr fontId="19" type="noConversion"/>
  </si>
  <si>
    <t>EQ2018B23</t>
    <phoneticPr fontId="19" type="noConversion"/>
  </si>
  <si>
    <t>EQ201590</t>
    <phoneticPr fontId="19" type="noConversion"/>
  </si>
  <si>
    <r>
      <rPr>
        <sz val="10.5"/>
        <rFont val="宋体"/>
        <family val="3"/>
        <charset val="134"/>
      </rPr>
      <t>精密度最大值（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</si>
  <si>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准确度（与理论浓度的偏差）（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）范围</t>
    </r>
    <phoneticPr fontId="3" type="noConversion"/>
  </si>
  <si>
    <t>准确度和精密度</t>
    <phoneticPr fontId="3" type="noConversion"/>
  </si>
  <si>
    <r>
      <rPr>
        <sz val="10.5"/>
        <color theme="1"/>
        <rFont val="宋体"/>
        <family val="3"/>
        <charset val="134"/>
      </rPr>
      <t>批间准确度和精密度（除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  <phoneticPr fontId="3" type="noConversion"/>
  </si>
  <si>
    <r>
      <rPr>
        <sz val="10.5"/>
        <color theme="1"/>
        <rFont val="宋体"/>
        <family val="3"/>
        <charset val="134"/>
      </rPr>
      <t>批间准确度和精密度（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  <phoneticPr fontId="3" type="noConversion"/>
  </si>
  <si>
    <r>
      <rPr>
        <sz val="10.5"/>
        <color theme="1"/>
        <rFont val="宋体"/>
        <family val="3"/>
        <charset val="134"/>
      </rPr>
      <t>批内准确度和精密度（除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  <phoneticPr fontId="3" type="noConversion"/>
  </si>
  <si>
    <r>
      <rPr>
        <sz val="10.5"/>
        <color theme="1"/>
        <rFont val="宋体"/>
        <family val="3"/>
        <charset val="134"/>
      </rPr>
      <t>批内准确度和精密度（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  <phoneticPr fontId="3" type="noConversion"/>
  </si>
  <si>
    <t>基质效应符合接受标准</t>
    <phoneticPr fontId="3" type="noConversion"/>
  </si>
  <si>
    <r>
      <rPr>
        <sz val="10.5"/>
        <color theme="1"/>
        <rFont val="宋体"/>
        <family val="3"/>
        <charset val="134"/>
      </rPr>
      <t>峰面积比</t>
    </r>
    <phoneticPr fontId="3" type="noConversion"/>
  </si>
  <si>
    <t>基质</t>
  </si>
  <si>
    <t>接收日期</t>
  </si>
  <si>
    <r>
      <rPr>
        <sz val="10.5"/>
        <color rgb="FF000000"/>
        <rFont val="DengXian"/>
        <family val="2"/>
      </rPr>
      <t>试剂</t>
    </r>
  </si>
  <si>
    <r>
      <rPr>
        <sz val="10.5"/>
        <color rgb="FF000000"/>
        <rFont val="DengXian"/>
        <family val="2"/>
      </rPr>
      <t>供应商</t>
    </r>
  </si>
  <si>
    <r>
      <rPr>
        <sz val="10.5"/>
        <color theme="1"/>
        <rFont val="DengXian"/>
        <family val="2"/>
      </rPr>
      <t>级别</t>
    </r>
    <phoneticPr fontId="19" type="noConversion"/>
  </si>
  <si>
    <t>供应商</t>
  </si>
  <si>
    <t>益诺思登记号</t>
  </si>
  <si>
    <t>上海益诺思生物技术股份有限公司</t>
  </si>
  <si>
    <t>类型</t>
  </si>
  <si>
    <t>配制日期</t>
    <phoneticPr fontId="19" type="noConversion"/>
  </si>
  <si>
    <t>储存条件</t>
  </si>
  <si>
    <t>标准曲线样品</t>
    <phoneticPr fontId="19" type="noConversion"/>
  </si>
  <si>
    <t>质量控制样品</t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</si>
  <si>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3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</si>
  <si>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3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</si>
  <si>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3" type="noConversion"/>
  </si>
  <si>
    <t>拒绝批：</t>
    <phoneticPr fontId="3" type="noConversion"/>
  </si>
  <si>
    <t>接受批：</t>
    <phoneticPr fontId="3" type="noConversion"/>
  </si>
  <si>
    <t>接受批：</t>
    <phoneticPr fontId="19" type="noConversion"/>
  </si>
  <si>
    <t>拒绝批：</t>
    <phoneticPr fontId="19" type="noConversion"/>
  </si>
  <si>
    <r>
      <rPr>
        <sz val="10.5"/>
        <color theme="1"/>
        <rFont val="宋体"/>
        <family val="3"/>
        <charset val="134"/>
      </rPr>
      <t>注：拒绝原因见表</t>
    </r>
    <r>
      <rPr>
        <sz val="10.5"/>
        <color theme="1"/>
        <rFont val="Times New Roman"/>
        <family val="1"/>
      </rPr>
      <t>1</t>
    </r>
    <phoneticPr fontId="3" type="noConversion"/>
  </si>
  <si>
    <t>数据采集/管理软件</t>
    <phoneticPr fontId="3" type="noConversion"/>
  </si>
  <si>
    <r>
      <t>Sciex Analyst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1.6.3</t>
    </r>
    <r>
      <rPr>
        <sz val="10.5"/>
        <rFont val="宋体"/>
        <family val="3"/>
        <charset val="134"/>
      </rPr>
      <t>），</t>
    </r>
    <r>
      <rPr>
        <sz val="10.5"/>
        <rFont val="Times New Roman"/>
        <family val="3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3"/>
      </rPr>
      <t>7.4.2</t>
    </r>
    <r>
      <rPr>
        <sz val="10.5"/>
        <rFont val="宋体"/>
        <family val="3"/>
        <charset val="134"/>
      </rPr>
      <t>）</t>
    </r>
    <phoneticPr fontId="3" type="noConversion"/>
  </si>
  <si>
    <t>ISSS24546</t>
  </si>
  <si>
    <t>空白血浆中内源性组份对RESS24546-B、和内标ISSS24546 的干扰符合接受标准</t>
  </si>
  <si>
    <t>RESS24546-B</t>
  </si>
  <si>
    <t>RESS24546-B</t>
    <phoneticPr fontId="3" type="noConversion"/>
  </si>
  <si>
    <t>Shimadzu</t>
    <phoneticPr fontId="19" type="noConversion"/>
  </si>
  <si>
    <t>LC-30AD</t>
    <phoneticPr fontId="19" type="noConversion"/>
  </si>
  <si>
    <r>
      <t>AB SCIEX/TRIPLE QUAD</t>
    </r>
    <r>
      <rPr>
        <vertAlign val="superscript"/>
        <sz val="10.5"/>
        <rFont val="Times New Roman"/>
        <family val="1"/>
      </rPr>
      <t>TM</t>
    </r>
    <r>
      <rPr>
        <sz val="10.5"/>
        <rFont val="Times New Roman"/>
        <family val="1"/>
      </rPr>
      <t>6500</t>
    </r>
    <r>
      <rPr>
        <vertAlign val="superscript"/>
        <sz val="10.5"/>
        <rFont val="Times New Roman"/>
        <family val="1"/>
      </rPr>
      <t>+</t>
    </r>
    <phoneticPr fontId="3" type="noConversion"/>
  </si>
  <si>
    <t>蛋白沉淀法</t>
    <phoneticPr fontId="3" type="noConversion"/>
  </si>
  <si>
    <t>待测物与内标间干扰符合接受标准</t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</si>
  <si>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RESS24546-B</t>
    </r>
    <r>
      <rPr>
        <sz val="10.5"/>
        <rFont val="宋体"/>
        <family val="3"/>
        <charset val="134"/>
      </rPr>
      <t>峰面积与内标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峰面积比；</t>
    </r>
    <phoneticPr fontId="3" type="noConversion"/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</si>
  <si>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Shim-pack Scepter C4-300 1.9</t>
    </r>
    <r>
      <rPr>
        <sz val="10.5"/>
        <rFont val="Calibri"/>
        <family val="1"/>
        <charset val="161"/>
      </rPr>
      <t>μ</t>
    </r>
    <r>
      <rPr>
        <sz val="10.5"/>
        <rFont val="Times New Roman"/>
        <family val="1"/>
      </rPr>
      <t>m 2.1×50mm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</si>
  <si>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</t>
    </r>
    <r>
      <rPr>
        <sz val="10.5"/>
        <rFont val="宋体"/>
        <family val="1"/>
        <charset val="134"/>
      </rPr>
      <t>含</t>
    </r>
    <r>
      <rPr>
        <sz val="10.5"/>
        <rFont val="Times New Roman"/>
        <family val="1"/>
      </rPr>
      <t>0.01%</t>
    </r>
    <r>
      <rPr>
        <sz val="10.5"/>
        <rFont val="宋体"/>
        <family val="1"/>
        <charset val="134"/>
      </rPr>
      <t>甲酸的乙腈溶液</t>
    </r>
    <phoneticPr fontId="3" type="noConversion"/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</si>
  <si>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0.5 mL/min</t>
    </r>
    <phoneticPr fontId="3" type="noConversion"/>
  </si>
  <si>
    <r>
      <t>EDTA-K</t>
    </r>
    <r>
      <rPr>
        <vertAlign val="subscript"/>
        <sz val="10.5"/>
        <rFont val="Times New Roman"/>
        <family val="1"/>
      </rPr>
      <t>2</t>
    </r>
    <phoneticPr fontId="3" type="noConversion"/>
  </si>
  <si>
    <t>HS-20118对照品</t>
  </si>
  <si>
    <t>KN-RS-25-0136</t>
  </si>
  <si>
    <t>RS20240903</t>
  </si>
  <si>
    <t>江苏豪森药业集团有限公司</t>
  </si>
  <si>
    <r>
      <rPr>
        <sz val="10.5"/>
        <rFont val="宋体"/>
        <family val="3"/>
        <charset val="134"/>
      </rPr>
      <t>有效期至</t>
    </r>
  </si>
  <si>
    <t>HS-20118内标物</t>
  </si>
  <si>
    <t>KN-RS-25-0137</t>
  </si>
  <si>
    <t>97.6%*</t>
    <phoneticPr fontId="19" type="noConversion"/>
  </si>
  <si>
    <t>密封，冷冻（-15℃~ -25℃）</t>
  </si>
  <si>
    <r>
      <t>*</t>
    </r>
    <r>
      <rPr>
        <sz val="10.5"/>
        <rFont val="宋体"/>
        <family val="3"/>
        <charset val="134"/>
      </rPr>
      <t>主成分含量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含量</t>
    </r>
    <r>
      <rPr>
        <sz val="10.5"/>
        <rFont val="Times New Roman"/>
        <family val="1"/>
      </rPr>
      <t>*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1-</t>
    </r>
    <r>
      <rPr>
        <sz val="10.5"/>
        <rFont val="宋体"/>
        <family val="3"/>
        <charset val="134"/>
      </rPr>
      <t>水分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三氟乙酸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乙酸）</t>
    </r>
    <r>
      <rPr>
        <sz val="10.5"/>
        <rFont val="Times New Roman"/>
        <family val="1"/>
      </rPr>
      <t>=97.6%*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1-4.0% -0.47%</t>
    </r>
    <r>
      <rPr>
        <sz val="10.5"/>
        <rFont val="宋体"/>
        <family val="3"/>
        <charset val="134"/>
      </rPr>
      <t>）</t>
    </r>
    <r>
      <rPr>
        <sz val="10.5"/>
        <rFont val="Times New Roman"/>
        <family val="1"/>
      </rPr>
      <t>=93.2%</t>
    </r>
  </si>
  <si>
    <t>上海安谱实验科技股份有限公司</t>
    <phoneticPr fontId="19" type="noConversion"/>
  </si>
  <si>
    <t>乙腈</t>
  </si>
  <si>
    <t>液相色谱纯</t>
    <phoneticPr fontId="19" type="noConversion"/>
  </si>
  <si>
    <t>甲醇</t>
  </si>
  <si>
    <t xml:space="preserve">异丙醇 </t>
  </si>
  <si>
    <t xml:space="preserve">甲酸 </t>
  </si>
  <si>
    <t xml:space="preserve">二甲基亚砜  </t>
  </si>
  <si>
    <t>乙酸铵</t>
    <phoneticPr fontId="19" type="noConversion"/>
  </si>
  <si>
    <t>国药集团化学试剂有限公司</t>
    <phoneticPr fontId="19" type="noConversion"/>
  </si>
  <si>
    <t>分析纯</t>
    <phoneticPr fontId="19" type="noConversion"/>
  </si>
  <si>
    <t>KN-BM-25-197</t>
    <phoneticPr fontId="19" type="noConversion"/>
  </si>
  <si>
    <t>KN-BM-25-205</t>
    <phoneticPr fontId="19" type="noConversion"/>
  </si>
  <si>
    <r>
      <t xml:space="preserve">2.6 </t>
    </r>
    <r>
      <rPr>
        <sz val="11"/>
        <rFont val="宋体"/>
        <family val="3"/>
        <charset val="134"/>
      </rPr>
      <t>空白基质</t>
    </r>
    <phoneticPr fontId="19" type="noConversion"/>
  </si>
  <si>
    <t>现配现用</t>
    <phoneticPr fontId="19" type="noConversion"/>
  </si>
  <si>
    <t>EQ2018B32</t>
    <phoneticPr fontId="3" type="noConversion"/>
  </si>
  <si>
    <t>系统适用性，全血稳定性</t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</si>
  <si>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3" type="noConversion"/>
  </si>
  <si>
    <t>上海益诺思生物技术股份有限公司</t>
    <phoneticPr fontId="19" type="noConversion"/>
  </si>
  <si>
    <r>
      <rPr>
        <sz val="10.5"/>
        <rFont val="宋体"/>
        <family val="3"/>
        <charset val="134"/>
      </rPr>
      <t>基质效应</t>
    </r>
    <phoneticPr fontId="3" type="noConversion"/>
  </si>
  <si>
    <r>
      <rPr>
        <sz val="10.5"/>
        <rFont val="宋体"/>
        <family val="3"/>
        <charset val="134"/>
      </rPr>
      <t>储存条件：室温黄光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</t>
    </r>
    <phoneticPr fontId="19" type="noConversion"/>
  </si>
  <si>
    <t>GMQC</t>
    <phoneticPr fontId="3" type="noConversion"/>
  </si>
  <si>
    <t>MQC</t>
    <phoneticPr fontId="3" type="noConversion"/>
  </si>
  <si>
    <r>
      <rPr>
        <sz val="10.5"/>
        <rFont val="宋体"/>
        <family val="3"/>
        <charset val="134"/>
      </rPr>
      <t>平均值</t>
    </r>
    <phoneticPr fontId="3" type="noConversion"/>
  </si>
  <si>
    <t>2μL</t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</si>
  <si>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50.000 ng/mL</t>
    </r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</si>
  <si>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150.000 ng/mL</t>
    </r>
    <r>
      <rPr>
        <sz val="10.5"/>
        <rFont val="宋体"/>
        <family val="3"/>
        <charset val="134"/>
      </rPr>
      <t>，11</t>
    </r>
    <r>
      <rPr>
        <sz val="10.5"/>
        <rFont val="Times New Roman"/>
        <family val="1"/>
      </rPr>
      <t>25.000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7500.000 ng/mL</t>
    </r>
    <r>
      <rPr>
        <sz val="10.5"/>
        <rFont val="宋体"/>
        <family val="1"/>
        <charset val="134"/>
      </rPr>
      <t>，</t>
    </r>
    <r>
      <rPr>
        <sz val="10.5"/>
        <rFont val="Times New Roman"/>
        <family val="1"/>
      </rPr>
      <t>18750.000 ng/mL</t>
    </r>
    <r>
      <rPr>
        <sz val="10.5"/>
        <rFont val="宋体"/>
        <family val="3"/>
        <charset val="134"/>
      </rPr>
      <t>；</t>
    </r>
    <phoneticPr fontId="3" type="noConversion"/>
  </si>
  <si>
    <t>-4.8~7.1</t>
    <phoneticPr fontId="3" type="noConversion"/>
  </si>
  <si>
    <t>-2.2~ 3.7</t>
    <phoneticPr fontId="3" type="noConversion"/>
  </si>
  <si>
    <r>
      <rPr>
        <sz val="10.5"/>
        <rFont val="宋体"/>
        <family val="3"/>
        <charset val="134"/>
      </rPr>
      <t>以</t>
    </r>
    <r>
      <rPr>
        <sz val="10.5"/>
        <rFont val="Times New Roman"/>
        <family val="1"/>
      </rPr>
      <t>RESS24546-B</t>
    </r>
    <r>
      <rPr>
        <sz val="10.5"/>
        <rFont val="宋体"/>
        <family val="3"/>
        <charset val="134"/>
      </rPr>
      <t>计，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平均回收率为</t>
    </r>
    <r>
      <rPr>
        <sz val="10.5"/>
        <rFont val="Times New Roman"/>
        <family val="1"/>
      </rPr>
      <t>94.3%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 xml:space="preserve">2.2% </t>
    </r>
    <phoneticPr fontId="3" type="noConversion"/>
  </si>
  <si>
    <r>
      <t xml:space="preserve"> 125000.000 ng/mL</t>
    </r>
    <r>
      <rPr>
        <sz val="10.5"/>
        <rFont val="宋体"/>
        <family val="3"/>
        <charset val="134"/>
      </rPr>
      <t>稀释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>倍；</t>
    </r>
    <phoneticPr fontId="3" type="noConversion"/>
  </si>
  <si>
    <r>
      <rPr>
        <sz val="10.5"/>
        <rFont val="宋体"/>
        <family val="3"/>
        <charset val="134"/>
      </rPr>
      <t>室温黄光下至少稳定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</t>
    </r>
    <phoneticPr fontId="3" type="noConversion"/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</si>
  <si>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次</t>
    </r>
    <r>
      <rPr>
        <sz val="10.5"/>
        <rFont val="Times New Roman"/>
        <family val="1"/>
      </rPr>
      <t>-70~-90°C/</t>
    </r>
    <r>
      <rPr>
        <sz val="10.5"/>
        <rFont val="宋体"/>
        <family val="3"/>
        <charset val="134"/>
      </rPr>
      <t>室温黄光解冻稳定</t>
    </r>
    <phoneticPr fontId="3" type="noConversion"/>
  </si>
  <si>
    <r>
      <rPr>
        <sz val="10.5"/>
        <rFont val="宋体"/>
        <family val="3"/>
        <charset val="134"/>
      </rPr>
      <t>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）条件下可稳定保存至少</t>
    </r>
    <r>
      <rPr>
        <sz val="10.5"/>
        <rFont val="Times New Roman"/>
        <family val="1"/>
      </rPr>
      <t>104</t>
    </r>
    <r>
      <rPr>
        <sz val="10.5"/>
        <rFont val="宋体"/>
        <family val="3"/>
        <charset val="134"/>
      </rPr>
      <t>小时</t>
    </r>
    <phoneticPr fontId="3" type="noConversion"/>
  </si>
  <si>
    <t>表14：储备液短期稳定性</t>
  </si>
  <si>
    <r>
      <rPr>
        <sz val="10.5"/>
        <rFont val="宋体"/>
        <family val="3"/>
        <charset val="134"/>
      </rPr>
      <t>储备液开始放置时间：</t>
    </r>
  </si>
  <si>
    <r>
      <rPr>
        <sz val="10.5"/>
        <rFont val="宋体"/>
        <family val="3"/>
        <charset val="134"/>
      </rPr>
      <t>储备液放置结束时间：</t>
    </r>
  </si>
  <si>
    <r>
      <rPr>
        <sz val="10.5"/>
        <rFont val="宋体"/>
        <family val="3"/>
        <charset val="134"/>
      </rPr>
      <t>待测物</t>
    </r>
  </si>
  <si>
    <r>
      <rPr>
        <sz val="10.5"/>
        <rFont val="宋体"/>
        <family val="3"/>
        <charset val="134"/>
      </rPr>
      <t>内标</t>
    </r>
    <phoneticPr fontId="3" type="noConversion"/>
  </si>
  <si>
    <r>
      <rPr>
        <sz val="10.5"/>
        <color theme="1"/>
        <rFont val="宋体"/>
        <family val="3"/>
        <charset val="134"/>
      </rPr>
      <t>样品名称</t>
    </r>
    <phoneticPr fontId="3" type="noConversion"/>
  </si>
  <si>
    <r>
      <rPr>
        <sz val="10.5"/>
        <color theme="1"/>
        <rFont val="宋体"/>
        <family val="3"/>
        <charset val="134"/>
      </rPr>
      <t>待测物峰面积</t>
    </r>
    <phoneticPr fontId="3" type="noConversion"/>
  </si>
  <si>
    <r>
      <rPr>
        <sz val="10.5"/>
        <color theme="1"/>
        <rFont val="宋体"/>
        <family val="3"/>
        <charset val="134"/>
      </rPr>
      <t>内标峰面积</t>
    </r>
    <phoneticPr fontId="3" type="noConversion"/>
  </si>
  <si>
    <r>
      <rPr>
        <sz val="10.5"/>
        <color theme="1"/>
        <rFont val="宋体"/>
        <family val="3"/>
        <charset val="134"/>
      </rPr>
      <t>内标峰面积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待测物峰面积</t>
    </r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</si>
  <si>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208</t>
    </r>
    <r>
      <rPr>
        <sz val="10.5"/>
        <rFont val="宋体"/>
        <family val="3"/>
        <charset val="134"/>
      </rPr>
      <t xml:space="preserve">天；
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208</t>
    </r>
    <r>
      <rPr>
        <sz val="10.5"/>
        <rFont val="宋体"/>
        <family val="3"/>
        <charset val="134"/>
      </rPr>
      <t>天</t>
    </r>
    <phoneticPr fontId="3" type="noConversion"/>
  </si>
  <si>
    <t>表16 ：储备液长期稳定性</t>
  </si>
  <si>
    <t>长期稳定性样品处理日期：</t>
  </si>
  <si>
    <r>
      <rPr>
        <sz val="10.5"/>
        <rFont val="宋体"/>
        <family val="3"/>
        <charset val="134"/>
      </rPr>
      <t>内标</t>
    </r>
  </si>
  <si>
    <t>长期稳定性样品放置时间（天）：</t>
  </si>
  <si>
    <r>
      <rPr>
        <sz val="10.5"/>
        <rFont val="宋体"/>
        <family val="3"/>
        <charset val="134"/>
      </rPr>
      <t>序列号：</t>
    </r>
    <r>
      <rPr>
        <sz val="10.5"/>
        <rFont val="Times New Roman"/>
        <family val="1"/>
      </rPr>
      <t>112IB30266</t>
    </r>
    <r>
      <rPr>
        <sz val="10.5"/>
        <rFont val="宋体"/>
        <family val="1"/>
        <charset val="134"/>
      </rPr>
      <t>；</t>
    </r>
    <r>
      <rPr>
        <sz val="10.5"/>
        <rFont val="Times New Roman"/>
        <family val="1"/>
      </rPr>
      <t>125GB40089</t>
    </r>
    <phoneticPr fontId="3" type="noConversion"/>
  </si>
  <si>
    <r>
      <rPr>
        <sz val="10.5"/>
        <rFont val="宋体"/>
        <family val="1"/>
        <charset val="134"/>
      </rPr>
      <t>食蟹猴</t>
    </r>
    <r>
      <rPr>
        <sz val="10.5"/>
        <rFont val="宋体"/>
        <family val="3"/>
        <charset val="134"/>
      </rPr>
      <t>血浆</t>
    </r>
    <phoneticPr fontId="3" type="noConversion"/>
  </si>
  <si>
    <r>
      <t>RESS24546-B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ISSS24546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</t>
    </r>
    <phoneticPr fontId="3" type="noConversion"/>
  </si>
  <si>
    <t>KN-BM-25-196</t>
    <phoneticPr fontId="19" type="noConversion"/>
  </si>
  <si>
    <t>安凯毅博（湛江）生物技术有限公司</t>
    <phoneticPr fontId="19" type="noConversion"/>
  </si>
  <si>
    <t>KN-BM-25-201</t>
    <phoneticPr fontId="19" type="noConversion"/>
  </si>
  <si>
    <t>KN-BM-25-211</t>
    <phoneticPr fontId="19" type="noConversion"/>
  </si>
  <si>
    <t>系统适用性，标准曲线及范围，第一批批内准确度和精密度，稳定性T0，稀释可靠性，特异性，残留评价</t>
    <phoneticPr fontId="3" type="noConversion"/>
  </si>
  <si>
    <r>
      <t>不适用</t>
    </r>
    <r>
      <rPr>
        <vertAlign val="superscript"/>
        <sz val="10.5"/>
        <rFont val="宋体"/>
        <family val="3"/>
        <charset val="134"/>
      </rPr>
      <t>1</t>
    </r>
    <phoneticPr fontId="3" type="noConversion"/>
  </si>
  <si>
    <r>
      <rPr>
        <sz val="10.5"/>
        <rFont val="宋体"/>
        <family val="3"/>
        <charset val="134"/>
      </rPr>
      <t>系统适用性，标准曲线及范围，第二批批内准确度和精密度，基质效应，回收率，溶血效应，选择性，分析批最大进样针数（</t>
    </r>
    <r>
      <rPr>
        <sz val="10.5"/>
        <rFont val="Times New Roman"/>
        <family val="3"/>
      </rPr>
      <t>160</t>
    </r>
    <r>
      <rPr>
        <sz val="10.5"/>
        <rFont val="宋体"/>
        <family val="3"/>
        <charset val="134"/>
      </rPr>
      <t>针），残留评价</t>
    </r>
    <phoneticPr fontId="3" type="noConversion"/>
  </si>
  <si>
    <r>
      <t>否</t>
    </r>
    <r>
      <rPr>
        <vertAlign val="superscript"/>
        <sz val="10.5"/>
        <rFont val="宋体"/>
        <family val="3"/>
        <charset val="134"/>
      </rPr>
      <t>2</t>
    </r>
    <phoneticPr fontId="3" type="noConversion"/>
  </si>
  <si>
    <r>
      <t>系统适用性，标准曲线及范围，第三批批内准确度和精密度，基质效应，回收率，溶血效应，选择性，处理后样品的稳定性</t>
    </r>
    <r>
      <rPr>
        <vertAlign val="superscript"/>
        <sz val="10.5"/>
        <rFont val="宋体"/>
        <family val="3"/>
        <charset val="134"/>
      </rPr>
      <t>3</t>
    </r>
    <r>
      <rPr>
        <sz val="10.5"/>
        <rFont val="宋体"/>
        <family val="3"/>
        <charset val="134"/>
      </rPr>
      <t>，分析批最大进样针数（163针），残留评价</t>
    </r>
    <phoneticPr fontId="3" type="noConversion"/>
  </si>
  <si>
    <t>系统适用性，标准曲线及范围，第四批批内准确度和精密度，样品短期稳定性，样品冻融稳定性，残留评价</t>
    <phoneticPr fontId="3" type="noConversion"/>
  </si>
  <si>
    <r>
      <rPr>
        <sz val="10.5"/>
        <rFont val="宋体"/>
        <family val="3"/>
        <charset val="134"/>
      </rPr>
      <t>系统适用性，标准曲线及范围，第五批批内准确度和精密度</t>
    </r>
    <r>
      <rPr>
        <vertAlign val="superscript"/>
        <sz val="10.5"/>
        <rFont val="宋体"/>
        <family val="3"/>
        <charset val="134"/>
      </rPr>
      <t>5</t>
    </r>
    <r>
      <rPr>
        <sz val="10.5"/>
        <rFont val="宋体"/>
        <family val="3"/>
        <charset val="134"/>
      </rPr>
      <t>，回收率，处理后样品稳定性</t>
    </r>
    <r>
      <rPr>
        <vertAlign val="superscript"/>
        <sz val="10.5"/>
        <rFont val="宋体"/>
        <family val="3"/>
        <charset val="134"/>
      </rPr>
      <t>6</t>
    </r>
    <r>
      <rPr>
        <sz val="10.5"/>
        <rFont val="宋体"/>
        <family val="3"/>
        <charset val="134"/>
      </rPr>
      <t>，分析批最大进样针数（</t>
    </r>
    <r>
      <rPr>
        <sz val="10.5"/>
        <rFont val="Times New Roman"/>
        <family val="3"/>
      </rPr>
      <t>130</t>
    </r>
    <r>
      <rPr>
        <sz val="10.5"/>
        <rFont val="宋体"/>
        <family val="3"/>
        <charset val="134"/>
      </rPr>
      <t>针），残留评价</t>
    </r>
    <phoneticPr fontId="3" type="noConversion"/>
  </si>
  <si>
    <t>系统适用性，标准曲线及范围，第六批批内准确度和精密度，基质效应，溶血效应，选择性，残留评价</t>
    <phoneticPr fontId="3" type="noConversion"/>
  </si>
  <si>
    <r>
      <t>否</t>
    </r>
    <r>
      <rPr>
        <vertAlign val="superscript"/>
        <sz val="10.5"/>
        <rFont val="宋体"/>
        <family val="3"/>
        <charset val="134"/>
      </rPr>
      <t>4</t>
    </r>
    <phoneticPr fontId="3" type="noConversion"/>
  </si>
  <si>
    <t>系统适用性，标准曲线及范围，第七批批内准确度和精密度，基质效应，溶血效应，选择性，残留评价</t>
    <phoneticPr fontId="3" type="noConversion"/>
  </si>
  <si>
    <r>
      <t>系统适用性，标准曲线及范围，处理后样品稳定性</t>
    </r>
    <r>
      <rPr>
        <vertAlign val="superscript"/>
        <sz val="10.5"/>
        <rFont val="宋体"/>
        <family val="3"/>
        <charset val="134"/>
      </rPr>
      <t>7</t>
    </r>
    <r>
      <rPr>
        <sz val="10.5"/>
        <rFont val="宋体"/>
        <family val="3"/>
        <charset val="134"/>
      </rPr>
      <t>，残留评价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</si>
  <si>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：该分析批无标曲质控样品。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</si>
  <si>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：该分析批标曲样品不符合接受标准。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</si>
  <si>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4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24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1</t>
    </r>
    <r>
      <rPr>
        <sz val="10.5"/>
        <rFont val="宋体"/>
        <family val="3"/>
        <charset val="134"/>
      </rPr>
      <t>个分析批中制备。</t>
    </r>
    <phoneticPr fontId="3" type="noConversion"/>
  </si>
  <si>
    <t>注4：该分析批的两个STD2样品不符合接受标准。</t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</si>
  <si>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：该分析批的批内准确度与精密度样品考察失败，将重新考察。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</si>
  <si>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3"/>
      </rPr>
      <t>6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4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29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个分析批中制备。由于分析批6标曲质控样品制备完成后放置过久，故处理后样品稳定性实验于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3"/>
      </rPr>
      <t>19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3"/>
      </rPr>
      <t>9</t>
    </r>
    <r>
      <rPr>
        <sz val="10.5"/>
        <rFont val="宋体"/>
        <family val="3"/>
        <charset val="134"/>
      </rPr>
      <t>个分析批中重新考察。</t>
    </r>
    <phoneticPr fontId="3" type="noConversion"/>
  </si>
  <si>
    <r>
      <rPr>
        <sz val="10.5"/>
        <rFont val="宋体"/>
        <family val="3"/>
        <charset val="134"/>
      </rPr>
      <t>注7：处理后样品稳定性实验，所使用的样品于</t>
    </r>
    <r>
      <rPr>
        <sz val="10.5"/>
        <rFont val="Times New Roman"/>
        <family val="3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3"/>
      </rPr>
      <t>5</t>
    </r>
    <r>
      <rPr>
        <sz val="10.5"/>
        <rFont val="宋体"/>
        <family val="3"/>
        <charset val="134"/>
      </rPr>
      <t>月15日第8个分析批中制备。</t>
    </r>
    <phoneticPr fontId="3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</si>
  <si>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10</t>
    </r>
    <phoneticPr fontId="19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</si>
  <si>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208</t>
    </r>
    <r>
      <rPr>
        <sz val="10.5"/>
        <rFont val="宋体"/>
        <family val="3"/>
        <charset val="134"/>
      </rPr>
      <t>天</t>
    </r>
    <phoneticPr fontId="19" type="noConversion"/>
  </si>
  <si>
    <r>
      <t>RESS24546-B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小时；</t>
    </r>
    <r>
      <rPr>
        <sz val="10.5"/>
        <rFont val="Times New Roman"/>
        <family val="1"/>
      </rPr>
      <t xml:space="preserve">
ISSS24546</t>
    </r>
    <r>
      <rPr>
        <sz val="10.5"/>
        <rFont val="宋体"/>
        <family val="3"/>
        <charset val="134"/>
      </rPr>
      <t>：室温黄光条件下放置可稳定至少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</t>
    </r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</si>
  <si>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208</t>
    </r>
    <r>
      <rPr>
        <sz val="10.5"/>
        <rFont val="宋体"/>
        <family val="3"/>
        <charset val="134"/>
      </rPr>
      <t>天；</t>
    </r>
    <r>
      <rPr>
        <sz val="10.5"/>
        <rFont val="Times New Roman"/>
        <family val="1"/>
      </rPr>
      <t xml:space="preserve">
ISSS24546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208</t>
    </r>
    <r>
      <rPr>
        <sz val="10.5"/>
        <rFont val="宋体"/>
        <family val="3"/>
        <charset val="134"/>
      </rPr>
      <t>天</t>
    </r>
    <phoneticPr fontId="3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</si>
  <si>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215</t>
    </r>
    <r>
      <rPr>
        <sz val="10.5"/>
        <rFont val="宋体"/>
        <family val="3"/>
        <charset val="134"/>
      </rPr>
      <t>天</t>
    </r>
    <phoneticPr fontId="3" type="noConversion"/>
  </si>
  <si>
    <r>
      <t>不适用</t>
    </r>
    <r>
      <rPr>
        <vertAlign val="superscript"/>
        <sz val="10.5"/>
        <color theme="1"/>
        <rFont val="宋体"/>
        <family val="3"/>
        <charset val="134"/>
      </rPr>
      <t>1</t>
    </r>
    <phoneticPr fontId="3" type="noConversion"/>
  </si>
  <si>
    <r>
      <rPr>
        <sz val="10.5"/>
        <color theme="1"/>
        <rFont val="宋体"/>
        <family val="3"/>
        <charset val="134"/>
      </rPr>
      <t>系统适用性，溶液稳定性</t>
    </r>
    <phoneticPr fontId="3" type="noConversion"/>
  </si>
  <si>
    <r>
      <rPr>
        <sz val="10.5"/>
        <color theme="1"/>
        <rFont val="宋体"/>
        <family val="3"/>
        <charset val="134"/>
      </rPr>
      <t>系统适用性，标准曲线及范围，样品长期稳定性，残留评价</t>
    </r>
    <phoneticPr fontId="3" type="noConversion"/>
  </si>
  <si>
    <t>SS24546BV02 ISS Fresh 1</t>
  </si>
  <si>
    <t>SS24546BV02 ISS Fresh 2</t>
  </si>
  <si>
    <t>SS24546BV02 ISS Fresh 3</t>
  </si>
  <si>
    <t>SS24546BV02 ISS Fresh 4</t>
  </si>
  <si>
    <t>SS24546BV02 ISS Fresh 5</t>
  </si>
  <si>
    <t>SS24546BV02 ISS Fresh 6</t>
  </si>
  <si>
    <t>SS24546BV02 ISS ST 1</t>
  </si>
  <si>
    <t>SS24546BV02 ISS ST 2</t>
  </si>
  <si>
    <t>SS24546BV02 ISS ST 3</t>
  </si>
  <si>
    <t>SS24546BV02 ISS ST 4</t>
  </si>
  <si>
    <t>SS24546BV02 ISS ST 5</t>
  </si>
  <si>
    <t>SS24546BV02 ISS ST 6</t>
  </si>
  <si>
    <t>SS24546BV02 ISS LT 1</t>
  </si>
  <si>
    <t>SS24546BV02 ISS LT 2</t>
  </si>
  <si>
    <t>SS24546BV02 ISS LT 3</t>
  </si>
  <si>
    <t>SS24546BV02 ISS LT 4</t>
  </si>
  <si>
    <t>SS24546BV02 ISS LT 5</t>
  </si>
  <si>
    <t>SS24546BV02 ISS LT 6</t>
  </si>
  <si>
    <t>*5999.733</t>
  </si>
  <si>
    <t>*31839.129</t>
  </si>
  <si>
    <t>*78.359</t>
  </si>
  <si>
    <r>
      <t>*</t>
    </r>
    <r>
      <rPr>
        <sz val="10.5"/>
        <color theme="1"/>
        <rFont val="宋体"/>
        <family val="3"/>
        <charset val="134"/>
      </rPr>
      <t>表示不符合接受标准，不参与统计计算</t>
    </r>
  </si>
  <si>
    <t>*123.609</t>
  </si>
  <si>
    <t>*701.845</t>
  </si>
  <si>
    <t>*3445.192</t>
  </si>
  <si>
    <t>*7225.326</t>
  </si>
  <si>
    <t>*14727.252</t>
  </si>
  <si>
    <t>*27496.282</t>
  </si>
  <si>
    <t>*33489.869</t>
  </si>
  <si>
    <t>*76.099</t>
  </si>
  <si>
    <t>*381.180</t>
  </si>
  <si>
    <t>*2061.065</t>
  </si>
  <si>
    <t>*3737.135</t>
  </si>
  <si>
    <t>*7763.256</t>
  </si>
  <si>
    <t>*16009.313</t>
  </si>
  <si>
    <t>*78.343</t>
  </si>
  <si>
    <t>*80.990</t>
  </si>
  <si>
    <t>*72.268</t>
    <phoneticPr fontId="3" type="noConversion"/>
  </si>
  <si>
    <t>*81.771</t>
    <phoneticPr fontId="3" type="noConversion"/>
  </si>
  <si>
    <t>*386.758</t>
    <phoneticPr fontId="3" type="noConversion"/>
  </si>
  <si>
    <t>*332.974</t>
    <phoneticPr fontId="3" type="noConversion"/>
  </si>
  <si>
    <r>
      <t>*</t>
    </r>
    <r>
      <rPr>
        <sz val="10.5"/>
        <color theme="1"/>
        <rFont val="宋体"/>
        <family val="3"/>
        <charset val="134"/>
      </rPr>
      <t>表示不符合接受标准，不参与统计计算</t>
    </r>
    <phoneticPr fontId="3" type="noConversion"/>
  </si>
  <si>
    <r>
      <rPr>
        <sz val="10.5"/>
        <color theme="1"/>
        <rFont val="宋体"/>
        <family val="3"/>
        <charset val="134"/>
      </rPr>
      <t>待测物残留≤</t>
    </r>
    <r>
      <rPr>
        <sz val="10.5"/>
        <color theme="1"/>
        <rFont val="Times New Roman"/>
        <family val="1"/>
      </rPr>
      <t xml:space="preserve"> 11.3%</t>
    </r>
    <phoneticPr fontId="3" type="noConversion"/>
  </si>
  <si>
    <r>
      <rPr>
        <sz val="10.5"/>
        <color theme="1"/>
        <rFont val="宋体"/>
        <family val="3"/>
        <charset val="134"/>
      </rPr>
      <t>内标残留≤</t>
    </r>
    <r>
      <rPr>
        <sz val="10.5"/>
        <color theme="1"/>
        <rFont val="Times New Roman"/>
        <family val="1"/>
      </rPr>
      <t xml:space="preserve"> 0.0%</t>
    </r>
    <phoneticPr fontId="3" type="noConversion"/>
  </si>
  <si>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-70°C~-90°C</t>
    </r>
    <r>
      <rPr>
        <sz val="10.5"/>
        <color theme="1"/>
        <rFont val="宋体"/>
        <family val="3"/>
        <charset val="134"/>
      </rPr>
      <t>下稳定至少</t>
    </r>
    <r>
      <rPr>
        <sz val="10.5"/>
        <color theme="1"/>
        <rFont val="Times New Roman"/>
        <family val="1"/>
      </rPr>
      <t>215</t>
    </r>
    <r>
      <rPr>
        <sz val="10.5"/>
        <color theme="1"/>
        <rFont val="宋体"/>
        <family val="3"/>
        <charset val="134"/>
      </rPr>
      <t>天</t>
    </r>
    <phoneticPr fontId="3" type="noConversion"/>
  </si>
  <si>
    <t>分析批是否接受</t>
    <phoneticPr fontId="3" type="noConversion"/>
  </si>
  <si>
    <t>SS24546BV02 WS IS Fresh 1</t>
  </si>
  <si>
    <t>SS24546BV02 WS IS Fresh 2</t>
  </si>
  <si>
    <t>SS24546BV02 WS IS Fresh 3</t>
  </si>
  <si>
    <t>SS24546BV02 WS IS Fresh 4</t>
  </si>
  <si>
    <t>SS24546BV02 WS IS Fresh 5</t>
  </si>
  <si>
    <t>SS24546BV02 WS IS Fresh 6</t>
  </si>
  <si>
    <t>SS24546BV02 WS IS LT 1</t>
  </si>
  <si>
    <t>SS24546BV02 WS IS LT 2</t>
  </si>
  <si>
    <t>SS24546BV02 WS IS LT 3</t>
  </si>
  <si>
    <t>SS24546BV02 WS IS LT 4</t>
  </si>
  <si>
    <t>SS24546BV02 WS IS LT 5</t>
  </si>
  <si>
    <t>SS24546BV02 WS IS LT 6</t>
  </si>
  <si>
    <t>SS24546BV02 WS IS ST 1</t>
  </si>
  <si>
    <t>SS24546BV02 WS IS ST 2</t>
  </si>
  <si>
    <t>SS24546BV02 WS IS ST 3</t>
  </si>
  <si>
    <t>SS24546BV02 WS IS ST 4</t>
  </si>
  <si>
    <t>SS24546BV02 WS IS ST 5</t>
  </si>
  <si>
    <t>SS24546BV02 WS IS ST 6</t>
  </si>
  <si>
    <r>
      <t xml:space="preserve">2.9 </t>
    </r>
    <r>
      <rPr>
        <sz val="10.5"/>
        <color theme="1"/>
        <rFont val="DengXian"/>
        <family val="2"/>
      </rPr>
      <t>标准曲线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DengXian"/>
        <family val="2"/>
      </rPr>
      <t>质控样品的配制</t>
    </r>
    <phoneticPr fontId="19" type="noConversion"/>
  </si>
  <si>
    <r>
      <t>食蟹猴EDTA-K</t>
    </r>
    <r>
      <rPr>
        <vertAlign val="sub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血浆</t>
    </r>
    <phoneticPr fontId="19" type="noConversion"/>
  </si>
  <si>
    <r>
      <t>食蟹猴EDTA-K</t>
    </r>
    <r>
      <rPr>
        <vertAlign val="sub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全血</t>
    </r>
    <phoneticPr fontId="19" type="noConversion"/>
  </si>
  <si>
    <r>
      <rPr>
        <sz val="10.5"/>
        <rFont val="宋体"/>
        <family val="3"/>
        <charset val="134"/>
      </rPr>
      <t>密封，冷冻（</t>
    </r>
    <r>
      <rPr>
        <sz val="10.5"/>
        <rFont val="Times New Roman"/>
        <family val="1"/>
      </rPr>
      <t>-20</t>
    </r>
    <r>
      <rPr>
        <sz val="10.5"/>
        <rFont val="Segoe UI Symbol"/>
        <family val="1"/>
      </rPr>
      <t>℃</t>
    </r>
    <r>
      <rPr>
        <sz val="10.5"/>
        <rFont val="Times New Roman"/>
        <family val="1"/>
      </rPr>
      <t>±5</t>
    </r>
    <r>
      <rPr>
        <sz val="10.5"/>
        <rFont val="Segoe UI Symbol"/>
        <family val="1"/>
      </rPr>
      <t>℃</t>
    </r>
    <r>
      <rPr>
        <sz val="10.5"/>
        <rFont val="宋体"/>
        <family val="3"/>
        <charset val="134"/>
      </rPr>
      <t>）</t>
    </r>
    <phoneticPr fontId="3" type="noConversion"/>
  </si>
  <si>
    <r>
      <t>SS24546-BA-003:  LC-MS/MS</t>
    </r>
    <r>
      <rPr>
        <sz val="10.5"/>
        <rFont val="宋体"/>
        <family val="3"/>
        <charset val="134"/>
      </rPr>
      <t>方法测定食蟹猴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血浆样品中</t>
    </r>
    <r>
      <rPr>
        <sz val="10.5"/>
        <rFont val="Times New Roman"/>
        <family val="1"/>
      </rPr>
      <t>HS-20118 (RESS24546-B)</t>
    </r>
    <r>
      <rPr>
        <sz val="10.5"/>
        <rFont val="宋体"/>
        <family val="3"/>
        <charset val="134"/>
      </rPr>
      <t>的浓度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</si>
  <si>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</t>
    </r>
    <r>
      <rPr>
        <sz val="10.5"/>
        <rFont val="宋体"/>
        <family val="1"/>
        <charset val="134"/>
      </rPr>
      <t>含</t>
    </r>
    <r>
      <rPr>
        <sz val="10.5"/>
        <rFont val="Times New Roman"/>
        <family val="1"/>
      </rPr>
      <t>0.05%FA, 1mM</t>
    </r>
    <r>
      <rPr>
        <sz val="10.5"/>
        <rFont val="宋体"/>
        <family val="1"/>
        <charset val="134"/>
      </rPr>
      <t>乙酸铵的水溶液</t>
    </r>
    <phoneticPr fontId="3" type="noConversion"/>
  </si>
  <si>
    <r>
      <t>RESS24546-B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50.000~25000.000 ng/mL</t>
    </r>
    <phoneticPr fontId="3" type="noConversion"/>
  </si>
  <si>
    <r>
      <t>RESS24546-B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150.000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88.4%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1.5%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RESS24546-B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 xml:space="preserve"> 7500.000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84.0%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1.5%</t>
    </r>
    <r>
      <rPr>
        <sz val="10.5"/>
        <rFont val="宋体"/>
        <family val="3"/>
        <charset val="134"/>
      </rPr>
      <t xml:space="preserve">；            </t>
    </r>
    <r>
      <rPr>
        <sz val="10.5"/>
        <rFont val="Times New Roman"/>
        <family val="1"/>
      </rPr>
      <t xml:space="preserve"> 
RESS24546-B</t>
    </r>
    <r>
      <rPr>
        <sz val="10.5"/>
        <rFont val="宋体"/>
        <family val="1"/>
        <charset val="134"/>
      </rPr>
      <t>浓度为</t>
    </r>
    <r>
      <rPr>
        <sz val="10.5"/>
        <rFont val="Times New Roman"/>
        <family val="1"/>
      </rPr>
      <t xml:space="preserve"> 18750.000 ng/mL</t>
    </r>
    <r>
      <rPr>
        <sz val="10.5"/>
        <rFont val="宋体"/>
        <family val="1"/>
        <charset val="134"/>
      </rPr>
      <t>时，平均回收率为</t>
    </r>
    <r>
      <rPr>
        <sz val="10.5"/>
        <rFont val="Times New Roman"/>
        <family val="1"/>
      </rPr>
      <t>89.4%</t>
    </r>
    <r>
      <rPr>
        <sz val="10.5"/>
        <rFont val="宋体"/>
        <family val="1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1"/>
        <charset val="134"/>
      </rPr>
      <t>为</t>
    </r>
    <r>
      <rPr>
        <sz val="10.5"/>
        <rFont val="Times New Roman"/>
        <family val="1"/>
      </rPr>
      <t>6.9%</t>
    </r>
    <r>
      <rPr>
        <sz val="10.5"/>
        <rFont val="宋体"/>
        <family val="1"/>
        <charset val="134"/>
      </rPr>
      <t>；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总体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3.3%</t>
    </r>
    <r>
      <rPr>
        <sz val="10.5"/>
        <rFont val="宋体"/>
        <family val="3"/>
        <charset val="134"/>
      </rPr>
      <t>。</t>
    </r>
    <phoneticPr fontId="3" type="noConversion"/>
  </si>
  <si>
    <r>
      <rPr>
        <sz val="10.5"/>
        <rFont val="宋体"/>
        <family val="3"/>
        <charset val="134"/>
      </rPr>
      <t>全血样品全血样品在室温白光下放置</t>
    </r>
    <r>
      <rPr>
        <sz val="10.5"/>
        <rFont val="Times New Roman"/>
        <family val="3"/>
      </rPr>
      <t>0.5</t>
    </r>
    <r>
      <rPr>
        <sz val="10.5"/>
        <rFont val="宋体"/>
        <family val="3"/>
        <charset val="134"/>
      </rPr>
      <t>小时后，转移至室温黄光放置至少稳定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小时</t>
    </r>
    <phoneticPr fontId="3" type="noConversion"/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</si>
  <si>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130</t>
    </r>
    <r>
      <rPr>
        <sz val="10.5"/>
        <rFont val="宋体"/>
        <family val="3"/>
        <charset val="134"/>
      </rPr>
      <t>针</t>
    </r>
    <phoneticPr fontId="3" type="noConversion"/>
  </si>
  <si>
    <r>
      <t>93.4%*</t>
    </r>
    <r>
      <rPr>
        <sz val="10.5"/>
        <rFont val="宋体"/>
        <family val="3"/>
        <charset val="134"/>
      </rPr>
      <t>（有效含量）</t>
    </r>
    <phoneticPr fontId="3" type="noConversion"/>
  </si>
  <si>
    <t>2025/09/22*</t>
    <phoneticPr fontId="3" type="noConversion"/>
  </si>
  <si>
    <r>
      <t>*</t>
    </r>
    <r>
      <rPr>
        <sz val="10.5"/>
        <rFont val="宋体"/>
        <family val="1"/>
        <charset val="134"/>
      </rPr>
      <t>于2025年11月18日根据CoA更新含量为92.9%（有效含量），有效期至为2026/09/10</t>
    </r>
    <phoneticPr fontId="3" type="noConversion"/>
  </si>
  <si>
    <r>
      <t>SD大鼠EDTA-K</t>
    </r>
    <r>
      <rPr>
        <vertAlign val="sub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血浆（仅用于稀释液的配制）</t>
    </r>
    <phoneticPr fontId="19" type="noConversion"/>
  </si>
  <si>
    <r>
      <t>#</t>
    </r>
    <r>
      <rPr>
        <sz val="10.5"/>
        <rFont val="宋体"/>
        <family val="3"/>
        <charset val="134"/>
      </rPr>
      <t>表示不符合接受标准，仍参与统计计算</t>
    </r>
  </si>
  <si>
    <r>
      <t>#</t>
    </r>
    <r>
      <rPr>
        <sz val="10.5"/>
        <rFont val="宋体"/>
        <family val="3"/>
        <charset val="134"/>
      </rPr>
      <t>表示不符合接受标准，仍参与统计计算</t>
    </r>
    <phoneticPr fontId="19" type="noConversion"/>
  </si>
  <si>
    <t>#111.842</t>
    <phoneticPr fontId="19" type="noConversion"/>
  </si>
  <si>
    <t>#106.445</t>
    <phoneticPr fontId="19" type="noConversion"/>
  </si>
  <si>
    <t>#113.526</t>
    <phoneticPr fontId="19" type="noConversion"/>
  </si>
  <si>
    <t>#108.859</t>
    <phoneticPr fontId="19" type="noConversion"/>
  </si>
  <si>
    <t>#809.495</t>
    <phoneticPr fontId="19" type="noConversion"/>
  </si>
  <si>
    <t>#942.155</t>
    <phoneticPr fontId="19" type="noConversion"/>
  </si>
  <si>
    <t>#8827.842</t>
    <phoneticPr fontId="19" type="noConversion"/>
  </si>
  <si>
    <t>mg/mL</t>
    <phoneticPr fontId="3" type="noConversion"/>
  </si>
  <si>
    <t>μg/mL</t>
  </si>
  <si>
    <r>
      <t>否</t>
    </r>
    <r>
      <rPr>
        <vertAlign val="superscript"/>
        <sz val="10.5"/>
        <color theme="1"/>
        <rFont val="宋体"/>
        <family val="3"/>
        <charset val="134"/>
      </rPr>
      <t>8</t>
    </r>
    <phoneticPr fontId="3" type="noConversion"/>
  </si>
  <si>
    <r>
      <rPr>
        <sz val="10.5"/>
        <rFont val="宋体"/>
        <family val="3"/>
        <charset val="134"/>
      </rPr>
      <t>注8：该分析批的两个</t>
    </r>
    <r>
      <rPr>
        <sz val="10.5"/>
        <rFont val="Times New Roman"/>
        <family val="3"/>
      </rPr>
      <t>STD2</t>
    </r>
    <r>
      <rPr>
        <sz val="10.5"/>
        <rFont val="宋体"/>
        <family val="3"/>
        <charset val="134"/>
      </rPr>
      <t>和</t>
    </r>
    <r>
      <rPr>
        <sz val="10.5"/>
        <rFont val="Times New Roman"/>
        <family val="3"/>
      </rPr>
      <t>STD3</t>
    </r>
    <r>
      <rPr>
        <sz val="10.5"/>
        <rFont val="宋体"/>
        <family val="3"/>
        <charset val="134"/>
      </rPr>
      <t>样品均不符合接受标准。</t>
    </r>
    <phoneticPr fontId="3" type="noConversion"/>
  </si>
  <si>
    <t>上海益诺思生物技术股份有限公司；安凯毅博（湛江）生物技术有限公司</t>
    <phoneticPr fontId="3" type="noConversion"/>
  </si>
  <si>
    <t>RESS24546-B：待测物保留时间CV≤ 0.6%；内标保留时间CV≤ 0.6%；面积比CV≤ 5.1%</t>
    <phoneticPr fontId="3" type="noConversion"/>
  </si>
  <si>
    <t>斯贝福（北京）生物技术有限公司</t>
    <phoneticPr fontId="19" type="noConversion"/>
  </si>
  <si>
    <t>-1.6~4.3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</si>
</sst>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"/>
    <numFmt numFmtId="177" formatCode="0.0_ "/>
    <numFmt numFmtId="178" formatCode="0.000"/>
    <numFmt numFmtId="179" formatCode="0.000000"/>
    <numFmt numFmtId="180" formatCode="yyyy/mm/dd"/>
    <numFmt numFmtId="181" formatCode="0.0000"/>
    <numFmt numFmtId="182" formatCode="0;_愀"/>
    <numFmt numFmtId="183" formatCode="0.0;_愀"/>
    <numFmt numFmtId="184" formatCode="0.000_ "/>
    <numFmt numFmtId="185" formatCode="yyyy/mm/dd\ hh:mm"/>
    <numFmt numFmtId="186" formatCode="0.00;[Red]0.00"/>
    <numFmt numFmtId="187" formatCode="\'\-0"/>
    <numFmt numFmtId="188" formatCode="0.000000_ "/>
    <numFmt numFmtId="189" formatCode="0.0000000"/>
    <numFmt numFmtId="190" formatCode="0.00000000"/>
  </numFmts>
  <fonts count="64">
    <font>
      <sz val="11"/>
      <color theme="1"/>
      <name val="DengXian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1"/>
      <name val="宋体"/>
      <family val="3"/>
      <charset val="134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vertAlign val="superscript"/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theme="1"/>
      <name val="DengXian"/>
      <family val="2"/>
    </font>
    <font>
      <sz val="10.5"/>
      <color rgb="FF0070C0"/>
      <name val="Times New Roman"/>
      <family val="1"/>
    </font>
    <font>
      <sz val="11"/>
      <color theme="1"/>
      <name val="DengXian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DengXian"/>
      <family val="2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0.5"/>
      <color theme="1"/>
      <name val="Times New Roman"/>
      <family val="3"/>
      <charset val="134"/>
    </font>
    <font>
      <sz val="10.5"/>
      <name val="Times New Roman"/>
      <family val="3"/>
    </font>
    <font>
      <vertAlign val="superscript"/>
      <sz val="10.5"/>
      <name val="Times New Roman"/>
      <family val="1"/>
    </font>
    <font>
      <sz val="10.5"/>
      <name val="宋体"/>
      <family val="1"/>
      <charset val="134"/>
    </font>
    <font>
      <sz val="10.5"/>
      <name val="Calibri"/>
      <family val="1"/>
      <charset val="161"/>
    </font>
    <font>
      <sz val="12"/>
      <name val="Times New Roman"/>
      <family val="1"/>
    </font>
    <font>
      <sz val="11"/>
      <name val="DengXian"/>
      <family val="2"/>
      <scheme val="minor"/>
    </font>
    <font>
      <sz val="10"/>
      <name val="宋体"/>
      <family val="3"/>
      <charset val="134"/>
    </font>
    <font>
      <vertAlign val="superscript"/>
      <sz val="10.5"/>
      <name val="宋体"/>
      <family val="3"/>
      <charset val="134"/>
    </font>
    <font>
      <vertAlign val="superscript"/>
      <sz val="10.5"/>
      <color theme="1"/>
      <name val="宋体"/>
      <family val="3"/>
      <charset val="134"/>
    </font>
    <font>
      <sz val="10.5"/>
      <color theme="1"/>
      <name val="宋体"/>
      <family val="1"/>
      <charset val="134"/>
    </font>
    <font>
      <sz val="10"/>
      <color theme="1"/>
      <name val="Times New Roman"/>
      <family val="1"/>
    </font>
    <font>
      <vertAlign val="subscript"/>
      <sz val="10"/>
      <name val="宋体"/>
      <family val="3"/>
      <charset val="134"/>
    </font>
    <font>
      <sz val="10.5"/>
      <name val="Segoe UI Symbol"/>
      <family val="1"/>
    </font>
    <font>
      <sz val="11"/>
      <color rgb="FF9C0006"/>
      <name val="DengXian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0">
    <xf numFmtId="0" fontId="0" fillId="0" borderId="0"/>
    <xf numFmtId="0" fontId="7" fillId="2" borderId="0" applyNumberFormat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23" fillId="5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" borderId="0" applyNumberFormat="0" applyBorder="0" applyAlignment="0" applyProtection="0"/>
    <xf numFmtId="0" fontId="23" fillId="0" borderId="0"/>
    <xf numFmtId="0" fontId="15" fillId="0" borderId="0"/>
    <xf numFmtId="0" fontId="26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5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6" borderId="0" applyNumberFormat="0" applyBorder="0" applyAlignment="0" applyProtection="0"/>
    <xf numFmtId="0" fontId="27" fillId="10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8" fillId="7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4" borderId="0" applyNumberFormat="0" applyBorder="0" applyAlignment="0" applyProtection="0"/>
    <xf numFmtId="0" fontId="28" fillId="8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9" fillId="2" borderId="0" applyNumberFormat="0" applyBorder="0" applyAlignment="0" applyProtection="0"/>
    <xf numFmtId="0" fontId="30" fillId="30" borderId="20" applyNumberFormat="0" applyAlignment="0" applyProtection="0"/>
    <xf numFmtId="0" fontId="31" fillId="31" borderId="23" applyNumberFormat="0" applyAlignment="0" applyProtection="0"/>
    <xf numFmtId="0" fontId="32" fillId="0" borderId="0" applyNumberFormat="0" applyFill="0" applyBorder="0" applyAlignment="0" applyProtection="0"/>
    <xf numFmtId="0" fontId="33" fillId="3" borderId="0" applyNumberFormat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37" fillId="29" borderId="20" applyNumberFormat="0" applyAlignment="0" applyProtection="0"/>
    <xf numFmtId="0" fontId="38" fillId="0" borderId="22" applyNumberFormat="0" applyFill="0" applyAlignment="0" applyProtection="0"/>
    <xf numFmtId="0" fontId="39" fillId="28" borderId="0" applyNumberFormat="0" applyBorder="0" applyAlignment="0" applyProtection="0"/>
    <xf numFmtId="0" fontId="27" fillId="32" borderId="24" applyNumberFormat="0" applyFont="0" applyAlignment="0" applyProtection="0"/>
    <xf numFmtId="0" fontId="40" fillId="30" borderId="21" applyNumberFormat="0" applyAlignment="0" applyProtection="0"/>
    <xf numFmtId="0" fontId="41" fillId="0" borderId="0" applyNumberFormat="0" applyFill="0" applyBorder="0" applyAlignment="0" applyProtection="0"/>
    <xf numFmtId="0" fontId="42" fillId="0" borderId="25" applyNumberFormat="0" applyFill="0" applyAlignment="0" applyProtection="0"/>
    <xf numFmtId="0" fontId="43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>
      <alignment vertical="center"/>
    </xf>
    <xf numFmtId="0" fontId="25" fillId="2" borderId="0" applyNumberFormat="0" applyBorder="0" applyAlignment="0" applyProtection="0"/>
    <xf numFmtId="0" fontId="63" fillId="2" borderId="0" applyNumberFormat="0" applyBorder="0" applyAlignment="0" applyProtection="0"/>
  </cellStyleXfs>
  <cellXfs count="236">
    <xf numFmtId="0" fontId="0" fillId="0" borderId="0" xfId="0"/>
    <xf numFmtId="0" fontId="10" fillId="0" borderId="0" xfId="0" applyFont="1"/>
    <xf numFmtId="0" fontId="9" fillId="0" borderId="0" xfId="0" applyFont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176" fontId="13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justify"/>
    </xf>
    <xf numFmtId="0" fontId="16" fillId="0" borderId="0" xfId="0" applyFont="1"/>
    <xf numFmtId="0" fontId="1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wrapText="1"/>
    </xf>
    <xf numFmtId="0" fontId="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80" fontId="4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1" xfId="26" applyFont="1" applyBorder="1" applyAlignment="1">
      <alignment horizontal="justify" vertical="center" wrapText="1"/>
    </xf>
    <xf numFmtId="0" fontId="9" fillId="0" borderId="1" xfId="0" quotePrefix="1" applyFont="1" applyBorder="1" applyAlignment="1">
      <alignment horizontal="left" vertical="center" wrapText="1"/>
    </xf>
    <xf numFmtId="177" fontId="9" fillId="0" borderId="6" xfId="0" applyNumberFormat="1" applyFont="1" applyBorder="1" applyAlignment="1">
      <alignment horizontal="left" vertical="center" wrapText="1"/>
    </xf>
    <xf numFmtId="10" fontId="13" fillId="0" borderId="1" xfId="0" applyNumberFormat="1" applyFont="1" applyBorder="1" applyAlignment="1">
      <alignment horizontal="justify" wrapText="1"/>
    </xf>
    <xf numFmtId="180" fontId="13" fillId="0" borderId="1" xfId="0" applyNumberFormat="1" applyFont="1" applyBorder="1" applyAlignment="1">
      <alignment horizontal="justify" wrapText="1"/>
    </xf>
    <xf numFmtId="0" fontId="54" fillId="0" borderId="0" xfId="0" applyFont="1" applyAlignment="1">
      <alignment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55" fillId="0" borderId="0" xfId="0" applyFont="1"/>
    <xf numFmtId="0" fontId="56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180" fontId="13" fillId="0" borderId="1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186" fontId="13" fillId="0" borderId="0" xfId="0" applyNumberFormat="1" applyFont="1" applyAlignment="1">
      <alignment horizontal="left" vertical="center"/>
    </xf>
    <xf numFmtId="179" fontId="13" fillId="0" borderId="1" xfId="2" applyNumberFormat="1" applyFont="1" applyBorder="1" applyAlignment="1">
      <alignment horizontal="center" vertical="center" wrapText="1"/>
    </xf>
    <xf numFmtId="176" fontId="13" fillId="0" borderId="1" xfId="2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21" fillId="0" borderId="0" xfId="0" applyFont="1"/>
    <xf numFmtId="0" fontId="13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44" fillId="0" borderId="0" xfId="0" applyFont="1"/>
    <xf numFmtId="178" fontId="13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80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81" fontId="17" fillId="0" borderId="1" xfId="0" applyNumberFormat="1" applyFont="1" applyBorder="1" applyAlignment="1">
      <alignment horizontal="center" vertical="center"/>
    </xf>
    <xf numFmtId="184" fontId="17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49" fillId="0" borderId="0" xfId="0" applyFont="1"/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184" fontId="13" fillId="0" borderId="2" xfId="0" applyNumberFormat="1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83" fontId="13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84" fontId="9" fillId="0" borderId="1" xfId="0" applyNumberFormat="1" applyFont="1" applyBorder="1" applyAlignment="1">
      <alignment horizontal="center" vertical="center" wrapText="1"/>
    </xf>
    <xf numFmtId="186" fontId="9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188" fontId="13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right"/>
    </xf>
    <xf numFmtId="1" fontId="9" fillId="0" borderId="26" xfId="0" applyNumberFormat="1" applyFont="1" applyBorder="1" applyAlignment="1">
      <alignment horizontal="center"/>
    </xf>
    <xf numFmtId="188" fontId="9" fillId="0" borderId="16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right"/>
    </xf>
    <xf numFmtId="1" fontId="9" fillId="0" borderId="0" xfId="0" applyNumberFormat="1" applyFont="1" applyAlignment="1">
      <alignment horizontal="center"/>
    </xf>
    <xf numFmtId="188" fontId="9" fillId="0" borderId="15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188" fontId="9" fillId="0" borderId="28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7" xfId="0" applyNumberFormat="1" applyFont="1" applyBorder="1" applyAlignment="1">
      <alignment horizontal="right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1" xfId="2" applyNumberFormat="1" applyFont="1" applyBorder="1" applyAlignment="1">
      <alignment horizontal="center" vertical="center" wrapText="1"/>
    </xf>
    <xf numFmtId="176" fontId="9" fillId="0" borderId="1" xfId="2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184" fontId="9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9" fontId="17" fillId="0" borderId="1" xfId="0" applyNumberFormat="1" applyFont="1" applyBorder="1" applyAlignment="1">
      <alignment horizontal="center" vertical="center"/>
    </xf>
    <xf numFmtId="189" fontId="17" fillId="0" borderId="1" xfId="0" applyNumberFormat="1" applyFont="1" applyBorder="1" applyAlignment="1">
      <alignment horizontal="center" vertical="center"/>
    </xf>
    <xf numFmtId="190" fontId="17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84" fontId="13" fillId="0" borderId="3" xfId="0" applyNumberFormat="1" applyFont="1" applyBorder="1" applyAlignment="1">
      <alignment horizontal="center" vertical="center" wrapText="1"/>
    </xf>
    <xf numFmtId="177" fontId="9" fillId="0" borderId="0" xfId="0" applyNumberFormat="1" applyFont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177" fontId="9" fillId="0" borderId="0" xfId="0" applyNumberFormat="1" applyFont="1"/>
    <xf numFmtId="177" fontId="9" fillId="0" borderId="0" xfId="0" applyNumberFormat="1" applyFont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vertical="center" wrapText="1"/>
    </xf>
    <xf numFmtId="188" fontId="9" fillId="0" borderId="0" xfId="0" applyNumberFormat="1" applyFont="1" applyAlignment="1">
      <alignment horizontal="center" vertical="center"/>
    </xf>
    <xf numFmtId="188" fontId="13" fillId="0" borderId="1" xfId="2" applyNumberFormat="1" applyFont="1" applyBorder="1" applyAlignment="1">
      <alignment horizontal="center" vertical="center" wrapText="1"/>
    </xf>
    <xf numFmtId="177" fontId="13" fillId="0" borderId="1" xfId="2" applyNumberFormat="1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justify" wrapText="1"/>
    </xf>
    <xf numFmtId="176" fontId="13" fillId="0" borderId="1" xfId="0" applyNumberFormat="1" applyFont="1" applyBorder="1" applyAlignment="1">
      <alignment horizontal="center" vertical="center"/>
    </xf>
    <xf numFmtId="177" fontId="16" fillId="0" borderId="0" xfId="0" applyNumberFormat="1" applyFont="1"/>
    <xf numFmtId="180" fontId="49" fillId="0" borderId="0" xfId="0" applyNumberFormat="1" applyFont="1"/>
    <xf numFmtId="184" fontId="9" fillId="0" borderId="5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80" fontId="4" fillId="0" borderId="0" xfId="0" applyNumberFormat="1" applyFont="1"/>
    <xf numFmtId="184" fontId="13" fillId="0" borderId="1" xfId="0" applyNumberFormat="1" applyFont="1" applyBorder="1" applyAlignment="1">
      <alignment horizontal="center" vertical="center"/>
    </xf>
    <xf numFmtId="184" fontId="13" fillId="0" borderId="2" xfId="0" applyNumberFormat="1" applyFont="1" applyBorder="1" applyAlignment="1">
      <alignment horizontal="center" vertical="center"/>
    </xf>
    <xf numFmtId="184" fontId="13" fillId="0" borderId="1" xfId="0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left" vertical="center"/>
    </xf>
    <xf numFmtId="177" fontId="13" fillId="0" borderId="1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85" fontId="9" fillId="0" borderId="0" xfId="0" applyNumberFormat="1" applyFont="1" applyAlignment="1">
      <alignment horizontal="left" vertical="center"/>
    </xf>
    <xf numFmtId="185" fontId="13" fillId="0" borderId="0" xfId="0" applyNumberFormat="1" applyFont="1" applyAlignment="1">
      <alignment horizontal="left" vertical="center"/>
    </xf>
    <xf numFmtId="1" fontId="9" fillId="0" borderId="26" xfId="0" applyNumberFormat="1" applyFont="1" applyBorder="1"/>
    <xf numFmtId="1" fontId="9" fillId="0" borderId="0" xfId="0" applyNumberFormat="1" applyFont="1"/>
    <xf numFmtId="1" fontId="9" fillId="0" borderId="7" xfId="0" applyNumberFormat="1" applyFont="1" applyBorder="1"/>
    <xf numFmtId="180" fontId="13" fillId="0" borderId="0" xfId="0" applyNumberFormat="1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9" fillId="0" borderId="4" xfId="0" applyFont="1" applyBorder="1" applyAlignment="1">
      <alignment horizontal="left" vertical="center" wrapText="1"/>
    </xf>
    <xf numFmtId="0" fontId="49" fillId="0" borderId="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10" fontId="44" fillId="0" borderId="4" xfId="0" applyNumberFormat="1" applyFont="1" applyBorder="1" applyAlignment="1">
      <alignment horizontal="left" vertical="center" wrapText="1"/>
    </xf>
    <xf numFmtId="10" fontId="44" fillId="0" borderId="6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justify" vertical="center" wrapText="1"/>
    </xf>
    <xf numFmtId="0" fontId="47" fillId="0" borderId="16" xfId="0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187" fontId="47" fillId="0" borderId="13" xfId="0" applyNumberFormat="1" applyFont="1" applyBorder="1" applyAlignment="1">
      <alignment horizontal="center" vertical="center" wrapText="1"/>
    </xf>
    <xf numFmtId="187" fontId="47" fillId="0" borderId="14" xfId="0" applyNumberFormat="1" applyFont="1" applyBorder="1" applyAlignment="1">
      <alignment horizontal="center" vertical="center" wrapText="1"/>
    </xf>
    <xf numFmtId="187" fontId="47" fillId="0" borderId="2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182" fontId="13" fillId="0" borderId="2" xfId="0" applyNumberFormat="1" applyFont="1" applyBorder="1" applyAlignment="1">
      <alignment horizontal="center" vertical="center" wrapText="1"/>
    </xf>
    <xf numFmtId="182" fontId="13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77" fontId="9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7" fontId="9" fillId="0" borderId="10" xfId="0" applyNumberFormat="1" applyFont="1" applyBorder="1" applyAlignment="1">
      <alignment horizontal="center"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177" fontId="9" fillId="0" borderId="12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/>
    </xf>
    <xf numFmtId="177" fontId="13" fillId="0" borderId="5" xfId="0" applyNumberFormat="1" applyFont="1" applyBorder="1" applyAlignment="1">
      <alignment horizontal="center" vertical="center" wrapText="1"/>
    </xf>
    <xf numFmtId="177" fontId="13" fillId="0" borderId="2" xfId="0" applyNumberFormat="1" applyFont="1" applyBorder="1" applyAlignment="1" applyProtection="1">
      <alignment horizontal="center" vertical="center" wrapText="1"/>
      <protection locked="0"/>
    </xf>
    <xf numFmtId="177" fontId="13" fillId="0" borderId="9" xfId="0" applyNumberFormat="1" applyFont="1" applyBorder="1" applyAlignment="1" applyProtection="1">
      <alignment horizontal="center" vertical="center" wrapText="1"/>
      <protection locked="0"/>
    </xf>
    <xf numFmtId="177" fontId="13" fillId="0" borderId="3" xfId="0" applyNumberFormat="1" applyFont="1" applyBorder="1" applyAlignment="1" applyProtection="1">
      <alignment horizontal="center" vertical="center" wrapText="1"/>
      <protection locked="0"/>
    </xf>
    <xf numFmtId="18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77" fontId="13" fillId="0" borderId="1" xfId="0" applyNumberFormat="1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left" vertical="center" wrapText="1"/>
      <protection locked="0"/>
    </xf>
    <xf numFmtId="0" fontId="13" fillId="0" borderId="26" xfId="0" applyFont="1" applyBorder="1" applyAlignment="1" applyProtection="1">
      <alignment horizontal="left" vertical="center" wrapText="1"/>
      <protection locked="0"/>
    </xf>
    <xf numFmtId="180" fontId="9" fillId="0" borderId="1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77" fontId="13" fillId="0" borderId="4" xfId="0" applyNumberFormat="1" applyFont="1" applyBorder="1" applyAlignment="1">
      <alignment horizontal="center"/>
    </xf>
    <xf numFmtId="177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76" fontId="9" fillId="0" borderId="1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Fill="1" applyBorder="1" applyAlignment="1">
      <alignment horizontal="left" vertical="center" wrapText="1"/>
    </xf>
  </cellXfs>
  <cellStyles count="80">
    <cellStyle name="20% - Accent1" xfId="35" xr:uid="{00000000-0005-0000-0000-000000000000}"/>
    <cellStyle name="20% - Accent2" xfId="36" xr:uid="{00000000-0005-0000-0000-000001000000}"/>
    <cellStyle name="20% - Accent3" xfId="37" xr:uid="{00000000-0005-0000-0000-000002000000}"/>
    <cellStyle name="20% - Accent4" xfId="38" xr:uid="{00000000-0005-0000-0000-000003000000}"/>
    <cellStyle name="20% - Accent5" xfId="39" xr:uid="{00000000-0005-0000-0000-000004000000}"/>
    <cellStyle name="20% - Accent6" xfId="40" xr:uid="{00000000-0005-0000-0000-000005000000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1" xr:uid="{00000000-0005-0000-0000-00000C000000}"/>
    <cellStyle name="40% - Accent2" xfId="42" xr:uid="{00000000-0005-0000-0000-00000D000000}"/>
    <cellStyle name="40% - Accent3" xfId="43" xr:uid="{00000000-0005-0000-0000-00000E000000}"/>
    <cellStyle name="40% - Accent4" xfId="44" xr:uid="{00000000-0005-0000-0000-00000F000000}"/>
    <cellStyle name="40% - Accent5" xfId="45" xr:uid="{00000000-0005-0000-0000-000010000000}"/>
    <cellStyle name="40% - Accent6" xfId="46" xr:uid="{00000000-0005-0000-0000-000011000000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7" xr:uid="{00000000-0005-0000-0000-000018000000}"/>
    <cellStyle name="60% - Accent2" xfId="48" xr:uid="{00000000-0005-0000-0000-000019000000}"/>
    <cellStyle name="60% - Accent3" xfId="49" xr:uid="{00000000-0005-0000-0000-00001A000000}"/>
    <cellStyle name="60% - Accent4" xfId="50" xr:uid="{00000000-0005-0000-0000-00001B000000}"/>
    <cellStyle name="60% - Accent5" xfId="51" xr:uid="{00000000-0005-0000-0000-00001C000000}"/>
    <cellStyle name="60% - Accent6" xfId="52" xr:uid="{00000000-0005-0000-0000-00001D000000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3" xr:uid="{00000000-0005-0000-0000-000024000000}"/>
    <cellStyle name="Accent2" xfId="54" xr:uid="{00000000-0005-0000-0000-000025000000}"/>
    <cellStyle name="Accent3" xfId="55" xr:uid="{00000000-0005-0000-0000-000026000000}"/>
    <cellStyle name="Accent4" xfId="56" xr:uid="{00000000-0005-0000-0000-000027000000}"/>
    <cellStyle name="Accent5" xfId="57" xr:uid="{00000000-0005-0000-0000-000028000000}"/>
    <cellStyle name="Accent6" xfId="58" xr:uid="{00000000-0005-0000-0000-000029000000}"/>
    <cellStyle name="Bad" xfId="59" xr:uid="{00000000-0005-0000-0000-00002A000000}"/>
    <cellStyle name="Bad 2" xfId="1" xr:uid="{00000000-0005-0000-0000-00002B000000}"/>
    <cellStyle name="Bad_表10 QC (除准确度精密度分析批）" xfId="79" xr:uid="{AE22E771-1116-4179-95F4-EC91C69BC0BB}"/>
    <cellStyle name="Calculation" xfId="60" xr:uid="{00000000-0005-0000-0000-00002D000000}"/>
    <cellStyle name="Check Cell" xfId="61" xr:uid="{00000000-0005-0000-0000-00002E000000}"/>
    <cellStyle name="Explanatory Text" xfId="62" xr:uid="{00000000-0005-0000-0000-00002F000000}"/>
    <cellStyle name="Good" xfId="63" xr:uid="{00000000-0005-0000-0000-000030000000}"/>
    <cellStyle name="Heading 1" xfId="64" xr:uid="{00000000-0005-0000-0000-000031000000}"/>
    <cellStyle name="Heading 2" xfId="65" xr:uid="{00000000-0005-0000-0000-000032000000}"/>
    <cellStyle name="Heading 3" xfId="66" xr:uid="{00000000-0005-0000-0000-000033000000}"/>
    <cellStyle name="Heading 4" xfId="67" xr:uid="{00000000-0005-0000-0000-000034000000}"/>
    <cellStyle name="Input" xfId="68" xr:uid="{00000000-0005-0000-0000-000035000000}"/>
    <cellStyle name="Linked Cell" xfId="69" xr:uid="{00000000-0005-0000-0000-000036000000}"/>
    <cellStyle name="Neutral" xfId="70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6" xr:uid="{00000000-0005-0000-0000-00003A000000}"/>
    <cellStyle name="Note" xfId="71" xr:uid="{00000000-0005-0000-0000-00003C000000}"/>
    <cellStyle name="Output" xfId="72" xr:uid="{00000000-0005-0000-0000-00003D000000}"/>
    <cellStyle name="Percent 2" xfId="4" xr:uid="{00000000-0005-0000-0000-00003E000000}"/>
    <cellStyle name="Title" xfId="73" xr:uid="{00000000-0005-0000-0000-00003F000000}"/>
    <cellStyle name="Total" xfId="74" xr:uid="{00000000-0005-0000-0000-000040000000}"/>
    <cellStyle name="Warning Text" xfId="75" xr:uid="{00000000-0005-0000-0000-000041000000}"/>
    <cellStyle name="差_1.1" xfId="25" xr:uid="{00000000-0005-0000-0000-000043000000}"/>
    <cellStyle name="差_表11_Recovery" xfId="76" xr:uid="{00000000-0005-0000-0000-000044000000}"/>
    <cellStyle name="差_表25_干扰" xfId="78" xr:uid="{00000000-0005-0000-0000-000045000000}"/>
    <cellStyle name="常规" xfId="0" builtinId="0"/>
    <cellStyle name="常规 2" xfId="27" xr:uid="{00000000-0005-0000-0000-000047000000}"/>
    <cellStyle name="常规 2 2" xfId="5" xr:uid="{00000000-0005-0000-0000-000048000000}"/>
    <cellStyle name="常规_1.1" xfId="26" xr:uid="{00000000-0005-0000-0000-000049000000}"/>
    <cellStyle name="好_1.1" xfId="28" xr:uid="{00000000-0005-0000-0000-00004C000000}"/>
    <cellStyle name="好_表11_Recovery" xfId="77" xr:uid="{00000000-0005-0000-0000-00004D000000}"/>
    <cellStyle name="强调文字颜色 1" xfId="29" xr:uid="{00000000-0005-0000-0000-00004E000000}"/>
    <cellStyle name="强调文字颜色 2" xfId="30" xr:uid="{00000000-0005-0000-0000-00004F000000}"/>
    <cellStyle name="强调文字颜色 3" xfId="31" xr:uid="{00000000-0005-0000-0000-000050000000}"/>
    <cellStyle name="强调文字颜色 4" xfId="32" xr:uid="{00000000-0005-0000-0000-000051000000}"/>
    <cellStyle name="强调文字颜色 5" xfId="33" xr:uid="{00000000-0005-0000-0000-000052000000}"/>
    <cellStyle name="强调文字颜色 6" xfId="34" xr:uid="{00000000-0005-0000-0000-00005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C61"/>
  <sheetViews>
    <sheetView view="pageBreakPreview" topLeftCell="A28" zoomScaleNormal="100" zoomScaleSheetLayoutView="100" workbookViewId="0">
      <selection activeCell="B43" sqref="B43:C43"/>
    </sheetView>
  </sheetViews>
  <sheetFormatPr defaultColWidth="8.875" defaultRowHeight="19.5" customHeight="1"/>
  <cols>
    <col min="1" max="1" width="34.75" style="8" customWidth="1"/>
    <col min="2" max="2" width="34.875" style="8" customWidth="1"/>
    <col min="3" max="3" width="43.5" style="8" customWidth="1"/>
    <col min="4" max="16384" width="8.875" style="8"/>
  </cols>
  <sheetData>
    <row r="1" spans="1:3" ht="19.5" customHeight="1">
      <c r="A1" s="8" t="s">
        <v>45</v>
      </c>
    </row>
    <row r="3" spans="1:3" ht="19.5" customHeight="1">
      <c r="A3" s="27" t="s">
        <v>1</v>
      </c>
      <c r="B3" s="152" t="s">
        <v>173</v>
      </c>
      <c r="C3" s="152"/>
    </row>
    <row r="4" spans="1:3" ht="19.5" customHeight="1">
      <c r="A4" s="27" t="s">
        <v>0</v>
      </c>
      <c r="B4" s="152" t="s">
        <v>170</v>
      </c>
      <c r="C4" s="152"/>
    </row>
    <row r="5" spans="1:3" ht="31.9" customHeight="1">
      <c r="A5" s="27" t="s">
        <v>9</v>
      </c>
      <c r="B5" s="157" t="s">
        <v>342</v>
      </c>
      <c r="C5" s="158"/>
    </row>
    <row r="6" spans="1:3" ht="19.5" customHeight="1">
      <c r="A6" s="27" t="s">
        <v>10</v>
      </c>
      <c r="B6" s="27" t="s">
        <v>11</v>
      </c>
      <c r="C6" s="27" t="s">
        <v>12</v>
      </c>
    </row>
    <row r="7" spans="1:3" ht="19.5" customHeight="1">
      <c r="A7" s="27" t="s">
        <v>43</v>
      </c>
      <c r="B7" s="27" t="s">
        <v>174</v>
      </c>
      <c r="C7" s="27" t="s">
        <v>175</v>
      </c>
    </row>
    <row r="8" spans="1:3" ht="19.5" customHeight="1">
      <c r="A8" s="27" t="s">
        <v>13</v>
      </c>
      <c r="B8" s="27" t="s">
        <v>41</v>
      </c>
      <c r="C8" s="27" t="s">
        <v>42</v>
      </c>
    </row>
    <row r="9" spans="1:3" ht="19.5" customHeight="1">
      <c r="A9" s="27" t="s">
        <v>14</v>
      </c>
      <c r="B9" s="27" t="s">
        <v>41</v>
      </c>
      <c r="C9" s="27" t="s">
        <v>176</v>
      </c>
    </row>
    <row r="10" spans="1:3" ht="19.5" customHeight="1">
      <c r="A10" s="29" t="s">
        <v>168</v>
      </c>
      <c r="B10" s="152" t="s">
        <v>169</v>
      </c>
      <c r="C10" s="152"/>
    </row>
    <row r="11" spans="1:3" ht="19.5" customHeight="1">
      <c r="A11" s="27" t="s">
        <v>15</v>
      </c>
      <c r="B11" s="152" t="s">
        <v>39</v>
      </c>
      <c r="C11" s="152"/>
    </row>
    <row r="12" spans="1:3" ht="19.5" customHeight="1">
      <c r="A12" s="27" t="s">
        <v>16</v>
      </c>
      <c r="B12" s="152" t="s">
        <v>40</v>
      </c>
      <c r="C12" s="152"/>
    </row>
    <row r="13" spans="1:3" ht="19.5" customHeight="1">
      <c r="A13" s="152" t="s">
        <v>111</v>
      </c>
      <c r="B13" s="163" t="s">
        <v>180</v>
      </c>
      <c r="C13" s="152"/>
    </row>
    <row r="14" spans="1:3" ht="19.5" customHeight="1">
      <c r="A14" s="152"/>
      <c r="B14" s="163" t="s">
        <v>241</v>
      </c>
      <c r="C14" s="152"/>
    </row>
    <row r="15" spans="1:3" ht="19.5" customHeight="1">
      <c r="A15" s="152" t="s">
        <v>17</v>
      </c>
      <c r="B15" s="163" t="s">
        <v>343</v>
      </c>
      <c r="C15" s="152"/>
    </row>
    <row r="16" spans="1:3" ht="19.5" customHeight="1">
      <c r="A16" s="152"/>
      <c r="B16" s="163" t="s">
        <v>181</v>
      </c>
      <c r="C16" s="152"/>
    </row>
    <row r="17" spans="1:3" ht="19.5" customHeight="1">
      <c r="A17" s="152"/>
      <c r="B17" s="150" t="s">
        <v>182</v>
      </c>
      <c r="C17" s="158"/>
    </row>
    <row r="18" spans="1:3" ht="19.5" customHeight="1">
      <c r="A18" s="27" t="s">
        <v>18</v>
      </c>
      <c r="B18" s="157" t="s">
        <v>110</v>
      </c>
      <c r="C18" s="158"/>
    </row>
    <row r="19" spans="1:3" ht="19.5" customHeight="1">
      <c r="A19" s="27" t="s">
        <v>19</v>
      </c>
      <c r="B19" s="164" t="s">
        <v>242</v>
      </c>
      <c r="C19" s="152"/>
    </row>
    <row r="20" spans="1:3" ht="19.5" customHeight="1">
      <c r="A20" s="27" t="s">
        <v>20</v>
      </c>
      <c r="B20" s="152" t="s">
        <v>183</v>
      </c>
      <c r="C20" s="152"/>
    </row>
    <row r="21" spans="1:3" ht="19.5" customHeight="1">
      <c r="A21" s="27" t="s">
        <v>46</v>
      </c>
      <c r="B21" s="152" t="s">
        <v>85</v>
      </c>
      <c r="C21" s="152"/>
    </row>
    <row r="22" spans="1:3" ht="30.6" customHeight="1">
      <c r="A22" s="27" t="s">
        <v>21</v>
      </c>
      <c r="B22" s="148" t="s">
        <v>365</v>
      </c>
      <c r="C22" s="158"/>
    </row>
    <row r="23" spans="1:3" ht="19.5" customHeight="1">
      <c r="A23" s="27" t="s">
        <v>22</v>
      </c>
      <c r="B23" s="162" t="s">
        <v>177</v>
      </c>
      <c r="C23" s="152"/>
    </row>
    <row r="24" spans="1:3" ht="19.5" customHeight="1">
      <c r="A24" s="27" t="s">
        <v>23</v>
      </c>
      <c r="B24" s="152" t="s">
        <v>217</v>
      </c>
      <c r="C24" s="152"/>
    </row>
    <row r="25" spans="1:3" ht="33" customHeight="1">
      <c r="A25" s="27" t="s">
        <v>24</v>
      </c>
      <c r="B25" s="165" t="s">
        <v>179</v>
      </c>
      <c r="C25" s="165"/>
    </row>
    <row r="26" spans="1:3" ht="19.5" customHeight="1">
      <c r="A26" s="27" t="s">
        <v>25</v>
      </c>
      <c r="B26" s="152" t="s">
        <v>30</v>
      </c>
      <c r="C26" s="152"/>
    </row>
    <row r="27" spans="1:3" ht="19.5" customHeight="1">
      <c r="A27" s="27" t="s">
        <v>26</v>
      </c>
      <c r="B27" s="152" t="s">
        <v>100</v>
      </c>
      <c r="C27" s="152"/>
    </row>
    <row r="28" spans="1:3" ht="19.5" customHeight="1">
      <c r="A28" s="27" t="s">
        <v>27</v>
      </c>
      <c r="B28" s="155" t="s">
        <v>344</v>
      </c>
      <c r="C28" s="156"/>
    </row>
    <row r="29" spans="1:3" ht="19.5" customHeight="1">
      <c r="A29" s="27" t="s">
        <v>28</v>
      </c>
      <c r="B29" s="155" t="s">
        <v>218</v>
      </c>
      <c r="C29" s="156"/>
    </row>
    <row r="30" spans="1:3" ht="19.5" customHeight="1">
      <c r="A30" s="27" t="s">
        <v>29</v>
      </c>
      <c r="B30" s="155" t="s">
        <v>218</v>
      </c>
      <c r="C30" s="156"/>
    </row>
    <row r="31" spans="1:3" ht="32.25" customHeight="1">
      <c r="A31" s="27" t="s">
        <v>101</v>
      </c>
      <c r="B31" s="155" t="s">
        <v>219</v>
      </c>
      <c r="C31" s="156"/>
    </row>
    <row r="32" spans="1:3" ht="32.25" customHeight="1">
      <c r="A32" s="30" t="s">
        <v>112</v>
      </c>
      <c r="B32" s="155" t="s">
        <v>366</v>
      </c>
      <c r="C32" s="156"/>
    </row>
    <row r="33" spans="1:3" ht="19.5" customHeight="1">
      <c r="A33" s="27" t="s">
        <v>71</v>
      </c>
      <c r="B33" s="161" t="s">
        <v>316</v>
      </c>
      <c r="C33" s="161"/>
    </row>
    <row r="34" spans="1:3" ht="19.5" customHeight="1">
      <c r="A34" s="27" t="s">
        <v>65</v>
      </c>
      <c r="B34" s="161" t="s">
        <v>317</v>
      </c>
      <c r="C34" s="161"/>
    </row>
    <row r="35" spans="1:3" ht="33.75" customHeight="1">
      <c r="A35" s="27" t="s">
        <v>72</v>
      </c>
      <c r="B35" s="152" t="s">
        <v>171</v>
      </c>
      <c r="C35" s="152"/>
    </row>
    <row r="36" spans="1:3" ht="33.75" customHeight="1">
      <c r="A36" s="27" t="s">
        <v>113</v>
      </c>
      <c r="B36" s="148" t="s">
        <v>178</v>
      </c>
      <c r="C36" s="158"/>
    </row>
    <row r="37" spans="1:3" ht="24.6" customHeight="1">
      <c r="A37" s="27" t="s">
        <v>212</v>
      </c>
      <c r="B37" s="162" t="s">
        <v>145</v>
      </c>
      <c r="C37" s="152"/>
    </row>
    <row r="38" spans="1:3" ht="35.450000000000003" customHeight="1">
      <c r="A38" s="29" t="s">
        <v>140</v>
      </c>
      <c r="B38" s="27" t="s">
        <v>139</v>
      </c>
      <c r="C38" s="28" t="s">
        <v>138</v>
      </c>
    </row>
    <row r="39" spans="1:3" ht="32.1" customHeight="1">
      <c r="A39" s="31" t="s">
        <v>143</v>
      </c>
      <c r="B39" s="32" t="s">
        <v>220</v>
      </c>
      <c r="C39" s="33">
        <v>10</v>
      </c>
    </row>
    <row r="40" spans="1:3" ht="21.95" customHeight="1">
      <c r="A40" s="31" t="s">
        <v>144</v>
      </c>
      <c r="B40" s="32" t="s">
        <v>221</v>
      </c>
      <c r="C40" s="33">
        <v>8</v>
      </c>
    </row>
    <row r="41" spans="1:3" ht="33.950000000000003" customHeight="1">
      <c r="A41" s="31" t="s">
        <v>141</v>
      </c>
      <c r="B41" s="235" t="s">
        <v>368</v>
      </c>
      <c r="C41" s="33">
        <v>8.5</v>
      </c>
    </row>
    <row r="42" spans="1:3" ht="20.100000000000001" customHeight="1">
      <c r="A42" s="31" t="s">
        <v>142</v>
      </c>
      <c r="B42" s="32">
        <v>1.3</v>
      </c>
      <c r="C42" s="33">
        <v>6</v>
      </c>
    </row>
    <row r="43" spans="1:3" ht="62.25" customHeight="1">
      <c r="A43" s="27" t="s">
        <v>86</v>
      </c>
      <c r="B43" s="157" t="s">
        <v>345</v>
      </c>
      <c r="C43" s="158"/>
    </row>
    <row r="44" spans="1:3" ht="38.25" customHeight="1">
      <c r="A44" s="27" t="s">
        <v>66</v>
      </c>
      <c r="B44" s="159" t="s">
        <v>222</v>
      </c>
      <c r="C44" s="160"/>
    </row>
    <row r="45" spans="1:3" ht="19.5" customHeight="1">
      <c r="A45" s="27" t="s">
        <v>73</v>
      </c>
      <c r="B45" s="157" t="s">
        <v>223</v>
      </c>
      <c r="C45" s="158"/>
    </row>
    <row r="46" spans="1:3" ht="48" customHeight="1">
      <c r="A46" s="27" t="s">
        <v>67</v>
      </c>
      <c r="B46" s="157" t="s">
        <v>243</v>
      </c>
      <c r="C46" s="158"/>
    </row>
    <row r="47" spans="1:3" ht="39" customHeight="1">
      <c r="A47" s="27" t="s">
        <v>68</v>
      </c>
      <c r="B47" s="157" t="s">
        <v>268</v>
      </c>
      <c r="C47" s="158"/>
    </row>
    <row r="48" spans="1:3" ht="36.75" customHeight="1">
      <c r="A48" s="27" t="s">
        <v>74</v>
      </c>
      <c r="B48" s="152" t="s">
        <v>236</v>
      </c>
      <c r="C48" s="152"/>
    </row>
    <row r="49" spans="1:3" ht="28.5" customHeight="1">
      <c r="A49" s="27" t="s">
        <v>69</v>
      </c>
      <c r="B49" s="152" t="s">
        <v>269</v>
      </c>
      <c r="C49" s="152"/>
    </row>
    <row r="50" spans="1:3" ht="33.75" customHeight="1">
      <c r="A50" s="27" t="s">
        <v>75</v>
      </c>
      <c r="B50" s="150" t="s">
        <v>224</v>
      </c>
      <c r="C50" s="151"/>
    </row>
    <row r="51" spans="1:3" ht="19.5" customHeight="1">
      <c r="A51" s="27" t="s">
        <v>70</v>
      </c>
      <c r="B51" s="150" t="s">
        <v>225</v>
      </c>
      <c r="C51" s="151"/>
    </row>
    <row r="52" spans="1:3" ht="19.5" customHeight="1">
      <c r="A52" s="27" t="s">
        <v>76</v>
      </c>
      <c r="B52" s="150" t="s">
        <v>226</v>
      </c>
      <c r="C52" s="151"/>
    </row>
    <row r="53" spans="1:3" ht="19.5" customHeight="1">
      <c r="A53" s="27" t="s">
        <v>77</v>
      </c>
      <c r="B53" s="153" t="s">
        <v>318</v>
      </c>
      <c r="C53" s="154"/>
    </row>
    <row r="54" spans="1:3" ht="19.5" customHeight="1">
      <c r="A54" s="27" t="s">
        <v>78</v>
      </c>
      <c r="B54" s="150" t="s">
        <v>346</v>
      </c>
      <c r="C54" s="151"/>
    </row>
    <row r="55" spans="1:3" ht="19.5" customHeight="1">
      <c r="A55" s="27" t="s">
        <v>79</v>
      </c>
      <c r="B55" s="148" t="s">
        <v>134</v>
      </c>
      <c r="C55" s="149"/>
    </row>
    <row r="56" spans="1:3" ht="19.5" customHeight="1">
      <c r="A56" s="27" t="s">
        <v>44</v>
      </c>
      <c r="B56" s="150" t="s">
        <v>347</v>
      </c>
      <c r="C56" s="151"/>
    </row>
    <row r="59" spans="1:3" ht="19.5" customHeight="1">
      <c r="A59" s="3"/>
    </row>
    <row r="60" spans="1:3" ht="19.5" customHeight="1">
      <c r="A60" s="3"/>
    </row>
    <row r="61" spans="1:3" ht="19.5" customHeight="1">
      <c r="A61" s="3"/>
    </row>
  </sheetData>
  <mergeCells count="47">
    <mergeCell ref="B18:C18"/>
    <mergeCell ref="B24:C24"/>
    <mergeCell ref="B48:C48"/>
    <mergeCell ref="B19:C19"/>
    <mergeCell ref="B20:C20"/>
    <mergeCell ref="B22:C22"/>
    <mergeCell ref="B23:C23"/>
    <mergeCell ref="B21:C21"/>
    <mergeCell ref="B46:C46"/>
    <mergeCell ref="B47:C47"/>
    <mergeCell ref="B25:C25"/>
    <mergeCell ref="B26:C26"/>
    <mergeCell ref="B36:C36"/>
    <mergeCell ref="B27:C27"/>
    <mergeCell ref="B28:C28"/>
    <mergeCell ref="B29:C29"/>
    <mergeCell ref="B12:C12"/>
    <mergeCell ref="B3:C3"/>
    <mergeCell ref="B4:C4"/>
    <mergeCell ref="B5:C5"/>
    <mergeCell ref="B10:C10"/>
    <mergeCell ref="B11:C11"/>
    <mergeCell ref="A13:A14"/>
    <mergeCell ref="B13:C13"/>
    <mergeCell ref="B14:C14"/>
    <mergeCell ref="A15:A17"/>
    <mergeCell ref="B15:C15"/>
    <mergeCell ref="B16:C16"/>
    <mergeCell ref="B17:C17"/>
    <mergeCell ref="B30:C30"/>
    <mergeCell ref="B35:C35"/>
    <mergeCell ref="B31:C31"/>
    <mergeCell ref="B32:C32"/>
    <mergeCell ref="B45:C45"/>
    <mergeCell ref="B43:C43"/>
    <mergeCell ref="B44:C44"/>
    <mergeCell ref="B33:C33"/>
    <mergeCell ref="B34:C34"/>
    <mergeCell ref="B37:C37"/>
    <mergeCell ref="B55:C55"/>
    <mergeCell ref="B56:C56"/>
    <mergeCell ref="B49:C49"/>
    <mergeCell ref="B50:C50"/>
    <mergeCell ref="B51:C51"/>
    <mergeCell ref="B52:C52"/>
    <mergeCell ref="B53:C53"/>
    <mergeCell ref="B54:C54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6" orientation="portrait" r:id="rId1"/>
  <headerFooter>
    <oddHeader>&amp;C 1632MV7生物分析方法学验证数据</oddHeader>
    <oddFooter>&amp;C第&amp;P页，共&amp;N页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2:B12"/>
  <sheetViews>
    <sheetView view="pageBreakPreview" zoomScaleNormal="100" zoomScaleSheetLayoutView="100" workbookViewId="0">
      <selection activeCell="G17" sqref="G17"/>
    </sheetView>
  </sheetViews>
  <sheetFormatPr defaultColWidth="8.875" defaultRowHeight="13.5"/>
  <cols>
    <col min="1" max="1" width="21" style="6" customWidth="1"/>
    <col min="2" max="2" width="29.375" style="6" customWidth="1"/>
    <col min="3" max="16384" width="8.875" style="6"/>
  </cols>
  <sheetData>
    <row r="2" spans="1:2">
      <c r="A2" s="9" t="s">
        <v>62</v>
      </c>
    </row>
    <row r="3" spans="1:2">
      <c r="A3" s="9"/>
    </row>
    <row r="4" spans="1:2" ht="15" customHeight="1">
      <c r="A4" s="20" t="s">
        <v>127</v>
      </c>
      <c r="B4" s="20" t="s">
        <v>184</v>
      </c>
    </row>
    <row r="5" spans="1:2" ht="15" customHeight="1">
      <c r="A5" s="20" t="s">
        <v>128</v>
      </c>
      <c r="B5" s="20" t="s">
        <v>172</v>
      </c>
    </row>
    <row r="6" spans="1:2" ht="15" customHeight="1">
      <c r="A6" s="20" t="s">
        <v>129</v>
      </c>
      <c r="B6" s="20" t="s">
        <v>185</v>
      </c>
    </row>
    <row r="7" spans="1:2" ht="15" customHeight="1">
      <c r="A7" s="20" t="s">
        <v>130</v>
      </c>
      <c r="B7" s="20" t="s">
        <v>186</v>
      </c>
    </row>
    <row r="8" spans="1:2" ht="15" customHeight="1">
      <c r="A8" s="20" t="s">
        <v>131</v>
      </c>
      <c r="B8" s="34" t="s">
        <v>348</v>
      </c>
    </row>
    <row r="9" spans="1:2" ht="15" customHeight="1">
      <c r="A9" s="20" t="s">
        <v>132</v>
      </c>
      <c r="B9" s="129" t="s">
        <v>341</v>
      </c>
    </row>
    <row r="10" spans="1:2" ht="15" customHeight="1">
      <c r="A10" s="20" t="s">
        <v>188</v>
      </c>
      <c r="B10" s="35" t="s">
        <v>349</v>
      </c>
    </row>
    <row r="11" spans="1:2" ht="15" customHeight="1">
      <c r="A11" s="20" t="s">
        <v>133</v>
      </c>
      <c r="B11" s="20" t="s">
        <v>187</v>
      </c>
    </row>
    <row r="12" spans="1:2">
      <c r="A12" s="6" t="s">
        <v>350</v>
      </c>
    </row>
  </sheetData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2:B12"/>
  <sheetViews>
    <sheetView view="pageBreakPreview" zoomScaleNormal="100" zoomScaleSheetLayoutView="100" workbookViewId="0">
      <selection activeCell="E29" sqref="E29"/>
    </sheetView>
  </sheetViews>
  <sheetFormatPr defaultColWidth="8.875" defaultRowHeight="13.5"/>
  <cols>
    <col min="1" max="1" width="21" style="6" customWidth="1"/>
    <col min="2" max="2" width="30.875" style="6" customWidth="1"/>
    <col min="3" max="3" width="29.375" style="6" customWidth="1"/>
    <col min="4" max="16384" width="8.875" style="6"/>
  </cols>
  <sheetData>
    <row r="2" spans="1:2">
      <c r="A2" s="9" t="s">
        <v>63</v>
      </c>
    </row>
    <row r="3" spans="1:2" ht="15">
      <c r="B3" s="10"/>
    </row>
    <row r="4" spans="1:2" ht="15.75" customHeight="1">
      <c r="A4" s="20" t="s">
        <v>127</v>
      </c>
      <c r="B4" s="20" t="s">
        <v>189</v>
      </c>
    </row>
    <row r="5" spans="1:2" ht="15.75" customHeight="1">
      <c r="A5" s="20" t="s">
        <v>128</v>
      </c>
      <c r="B5" s="20" t="s">
        <v>170</v>
      </c>
    </row>
    <row r="6" spans="1:2" ht="15.75" customHeight="1">
      <c r="A6" s="20" t="s">
        <v>129</v>
      </c>
      <c r="B6" s="20" t="s">
        <v>190</v>
      </c>
    </row>
    <row r="7" spans="1:2" ht="15.75" customHeight="1">
      <c r="A7" s="20" t="s">
        <v>130</v>
      </c>
      <c r="B7" s="20">
        <v>20240316</v>
      </c>
    </row>
    <row r="8" spans="1:2" ht="15.75" customHeight="1">
      <c r="A8" s="20" t="s">
        <v>131</v>
      </c>
      <c r="B8" s="34" t="s">
        <v>191</v>
      </c>
    </row>
    <row r="9" spans="1:2" ht="15.75" customHeight="1">
      <c r="A9" s="20" t="s">
        <v>132</v>
      </c>
      <c r="B9" s="20" t="s">
        <v>192</v>
      </c>
    </row>
    <row r="10" spans="1:2" ht="15.75" customHeight="1">
      <c r="A10" s="20" t="s">
        <v>188</v>
      </c>
      <c r="B10" s="35">
        <v>46091</v>
      </c>
    </row>
    <row r="11" spans="1:2" ht="15.75" customHeight="1">
      <c r="A11" s="20" t="s">
        <v>133</v>
      </c>
      <c r="B11" s="20" t="s">
        <v>187</v>
      </c>
    </row>
    <row r="12" spans="1:2" ht="15.75">
      <c r="A12" s="36" t="s">
        <v>193</v>
      </c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C58"/>
  <sheetViews>
    <sheetView view="pageBreakPreview" zoomScale="115" zoomScaleNormal="100" zoomScaleSheetLayoutView="115" workbookViewId="0">
      <selection activeCell="A11" sqref="A11"/>
    </sheetView>
  </sheetViews>
  <sheetFormatPr defaultColWidth="9" defaultRowHeight="13.5"/>
  <cols>
    <col min="1" max="1" width="25.125" style="2" customWidth="1"/>
    <col min="2" max="2" width="44" style="2" customWidth="1"/>
    <col min="3" max="3" width="25.125" style="2" customWidth="1"/>
    <col min="4" max="4" width="16.5" style="2" customWidth="1"/>
    <col min="5" max="16384" width="9" style="2"/>
  </cols>
  <sheetData>
    <row r="1" spans="1:3" ht="15" customHeight="1"/>
    <row r="2" spans="1:3" ht="15" customHeight="1">
      <c r="A2" s="2" t="s">
        <v>64</v>
      </c>
    </row>
    <row r="3" spans="1:3" ht="15" customHeight="1"/>
    <row r="4" spans="1:3">
      <c r="A4" s="22" t="s">
        <v>149</v>
      </c>
      <c r="B4" s="22" t="s">
        <v>150</v>
      </c>
      <c r="C4" s="16" t="s">
        <v>151</v>
      </c>
    </row>
    <row r="5" spans="1:3" ht="15.75" customHeight="1">
      <c r="A5" s="37" t="s">
        <v>195</v>
      </c>
      <c r="B5" s="37" t="s">
        <v>194</v>
      </c>
      <c r="C5" s="37" t="s">
        <v>196</v>
      </c>
    </row>
    <row r="6" spans="1:3" ht="15.75" customHeight="1">
      <c r="A6" s="37" t="s">
        <v>197</v>
      </c>
      <c r="B6" s="37" t="s">
        <v>194</v>
      </c>
      <c r="C6" s="37" t="s">
        <v>196</v>
      </c>
    </row>
    <row r="7" spans="1:3" ht="15.75" customHeight="1">
      <c r="A7" s="37" t="s">
        <v>198</v>
      </c>
      <c r="B7" s="37" t="s">
        <v>194</v>
      </c>
      <c r="C7" s="37" t="s">
        <v>196</v>
      </c>
    </row>
    <row r="8" spans="1:3" ht="15.75" customHeight="1">
      <c r="A8" s="37" t="s">
        <v>199</v>
      </c>
      <c r="B8" s="37" t="s">
        <v>194</v>
      </c>
      <c r="C8" s="37" t="s">
        <v>196</v>
      </c>
    </row>
    <row r="9" spans="1:3" ht="15.75" customHeight="1">
      <c r="A9" s="37" t="s">
        <v>200</v>
      </c>
      <c r="B9" s="37" t="s">
        <v>194</v>
      </c>
      <c r="C9" s="37" t="s">
        <v>196</v>
      </c>
    </row>
    <row r="10" spans="1:3" ht="15.75" customHeight="1">
      <c r="A10" s="37" t="s">
        <v>201</v>
      </c>
      <c r="B10" s="37" t="s">
        <v>202</v>
      </c>
      <c r="C10" s="38" t="s">
        <v>203</v>
      </c>
    </row>
    <row r="57" spans="2:2">
      <c r="B57" s="6"/>
    </row>
    <row r="58" spans="2:2">
      <c r="B58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8"/>
  <sheetViews>
    <sheetView workbookViewId="0">
      <selection activeCell="B5" sqref="B5"/>
    </sheetView>
  </sheetViews>
  <sheetFormatPr defaultColWidth="8.875" defaultRowHeight="15.75" customHeight="1"/>
  <cols>
    <col min="1" max="1" width="34.25" style="40" customWidth="1"/>
    <col min="2" max="2" width="35.375" style="40" customWidth="1"/>
    <col min="3" max="3" width="18" style="40" customWidth="1"/>
    <col min="4" max="4" width="18.75" style="40" customWidth="1"/>
    <col min="5" max="16384" width="8.875" style="40"/>
  </cols>
  <sheetData>
    <row r="1" spans="1:4" ht="15.75" customHeight="1">
      <c r="A1" s="10" t="s">
        <v>206</v>
      </c>
      <c r="B1" s="39"/>
    </row>
    <row r="3" spans="1:4" s="6" customFormat="1" ht="15.75" customHeight="1">
      <c r="A3" s="41" t="s">
        <v>147</v>
      </c>
      <c r="B3" s="41" t="s">
        <v>152</v>
      </c>
      <c r="C3" s="41" t="s">
        <v>153</v>
      </c>
      <c r="D3" s="41" t="s">
        <v>148</v>
      </c>
    </row>
    <row r="4" spans="1:4" s="6" customFormat="1" ht="15.75" customHeight="1">
      <c r="A4" s="41" t="s">
        <v>339</v>
      </c>
      <c r="B4" s="42" t="s">
        <v>245</v>
      </c>
      <c r="C4" s="43" t="s">
        <v>244</v>
      </c>
      <c r="D4" s="44">
        <v>45765</v>
      </c>
    </row>
    <row r="5" spans="1:4" s="6" customFormat="1" ht="15.75" customHeight="1">
      <c r="A5" s="41" t="s">
        <v>351</v>
      </c>
      <c r="B5" s="42" t="s">
        <v>367</v>
      </c>
      <c r="C5" s="43" t="s">
        <v>204</v>
      </c>
      <c r="D5" s="44">
        <v>45765</v>
      </c>
    </row>
    <row r="6" spans="1:4" s="6" customFormat="1" ht="15.75" customHeight="1">
      <c r="A6" s="41" t="s">
        <v>351</v>
      </c>
      <c r="B6" s="42" t="s">
        <v>211</v>
      </c>
      <c r="C6" s="43" t="s">
        <v>205</v>
      </c>
      <c r="D6" s="44">
        <v>45772</v>
      </c>
    </row>
    <row r="7" spans="1:4" s="6" customFormat="1" ht="15.75" customHeight="1">
      <c r="A7" s="41" t="s">
        <v>340</v>
      </c>
      <c r="B7" s="42" t="s">
        <v>154</v>
      </c>
      <c r="C7" s="43" t="s">
        <v>246</v>
      </c>
      <c r="D7" s="44">
        <v>45768</v>
      </c>
    </row>
    <row r="8" spans="1:4" ht="15.75" customHeight="1">
      <c r="A8" s="41" t="s">
        <v>340</v>
      </c>
      <c r="B8" s="42" t="s">
        <v>154</v>
      </c>
      <c r="C8" s="43" t="s">
        <v>247</v>
      </c>
      <c r="D8" s="44">
        <v>45775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C26"/>
  <sheetViews>
    <sheetView view="pageBreakPreview" zoomScaleNormal="100" zoomScaleSheetLayoutView="100" workbookViewId="0">
      <selection activeCell="G14" sqref="G14"/>
    </sheetView>
  </sheetViews>
  <sheetFormatPr defaultColWidth="8.875" defaultRowHeight="16.5" customHeight="1"/>
  <cols>
    <col min="1" max="1" width="23.375" style="15" customWidth="1"/>
    <col min="2" max="2" width="26.125" style="15" customWidth="1"/>
    <col min="3" max="3" width="30.75" style="15" customWidth="1"/>
    <col min="4" max="16384" width="8.875" style="15"/>
  </cols>
  <sheetData>
    <row r="2" spans="1:3" ht="16.5" customHeight="1">
      <c r="A2" s="172" t="s">
        <v>338</v>
      </c>
      <c r="B2" s="172"/>
      <c r="C2" s="172"/>
    </row>
    <row r="4" spans="1:3" ht="15.75" customHeight="1">
      <c r="A4" s="23" t="s">
        <v>155</v>
      </c>
      <c r="B4" s="23" t="s">
        <v>156</v>
      </c>
      <c r="C4" s="23" t="s">
        <v>157</v>
      </c>
    </row>
    <row r="5" spans="1:3" ht="15.75" customHeight="1">
      <c r="A5" s="166" t="s">
        <v>158</v>
      </c>
      <c r="B5" s="24">
        <v>45771</v>
      </c>
      <c r="C5" s="169" t="s">
        <v>207</v>
      </c>
    </row>
    <row r="6" spans="1:3" ht="15.75" customHeight="1">
      <c r="A6" s="167"/>
      <c r="B6" s="24">
        <v>45772</v>
      </c>
      <c r="C6" s="170"/>
    </row>
    <row r="7" spans="1:3" ht="15.75" customHeight="1">
      <c r="A7" s="167"/>
      <c r="B7" s="24">
        <v>45774</v>
      </c>
      <c r="C7" s="170"/>
    </row>
    <row r="8" spans="1:3" ht="15.75" customHeight="1">
      <c r="A8" s="167"/>
      <c r="B8" s="24">
        <v>45775</v>
      </c>
      <c r="C8" s="170"/>
    </row>
    <row r="9" spans="1:3" ht="15.75" customHeight="1">
      <c r="A9" s="167"/>
      <c r="B9" s="24">
        <v>45776</v>
      </c>
      <c r="C9" s="170"/>
    </row>
    <row r="10" spans="1:3" ht="15.75" customHeight="1">
      <c r="A10" s="167"/>
      <c r="B10" s="24">
        <v>45783</v>
      </c>
      <c r="C10" s="170"/>
    </row>
    <row r="11" spans="1:3" ht="15.75" customHeight="1">
      <c r="A11" s="167"/>
      <c r="B11" s="24">
        <v>45786</v>
      </c>
      <c r="C11" s="170"/>
    </row>
    <row r="12" spans="1:3" ht="15.75" customHeight="1">
      <c r="A12" s="167"/>
      <c r="B12" s="24">
        <v>45792</v>
      </c>
      <c r="C12" s="170"/>
    </row>
    <row r="13" spans="1:3" ht="15.75" customHeight="1">
      <c r="A13" s="167"/>
      <c r="B13" s="24">
        <v>45796</v>
      </c>
      <c r="C13" s="170"/>
    </row>
    <row r="14" spans="1:3" ht="15.75" customHeight="1">
      <c r="A14" s="167"/>
      <c r="B14" s="24">
        <v>45980</v>
      </c>
      <c r="C14" s="170"/>
    </row>
    <row r="15" spans="1:3" ht="15.75" customHeight="1">
      <c r="A15" s="168"/>
      <c r="B15" s="24">
        <v>45986</v>
      </c>
      <c r="C15" s="171"/>
    </row>
    <row r="16" spans="1:3" ht="15.75" customHeight="1">
      <c r="A16" s="166" t="s">
        <v>159</v>
      </c>
      <c r="B16" s="24">
        <v>45771</v>
      </c>
      <c r="C16" s="169" t="s">
        <v>207</v>
      </c>
    </row>
    <row r="17" spans="1:3" ht="15.75" customHeight="1">
      <c r="A17" s="167"/>
      <c r="B17" s="24">
        <v>45772</v>
      </c>
      <c r="C17" s="170"/>
    </row>
    <row r="18" spans="1:3" ht="16.5" customHeight="1">
      <c r="A18" s="167"/>
      <c r="B18" s="24">
        <v>45774</v>
      </c>
      <c r="C18" s="170"/>
    </row>
    <row r="19" spans="1:3" ht="16.5" customHeight="1">
      <c r="A19" s="167"/>
      <c r="B19" s="24">
        <v>45775</v>
      </c>
      <c r="C19" s="170"/>
    </row>
    <row r="20" spans="1:3" ht="16.5" customHeight="1">
      <c r="A20" s="167"/>
      <c r="B20" s="24">
        <v>45776</v>
      </c>
      <c r="C20" s="170"/>
    </row>
    <row r="21" spans="1:3" ht="16.5" customHeight="1">
      <c r="A21" s="167"/>
      <c r="B21" s="24">
        <v>45783</v>
      </c>
      <c r="C21" s="170"/>
    </row>
    <row r="22" spans="1:3" ht="16.5" customHeight="1">
      <c r="A22" s="167"/>
      <c r="B22" s="24">
        <v>45786</v>
      </c>
      <c r="C22" s="170"/>
    </row>
    <row r="23" spans="1:3" ht="16.5" customHeight="1">
      <c r="A23" s="167"/>
      <c r="B23" s="24">
        <v>45792</v>
      </c>
      <c r="C23" s="170"/>
    </row>
    <row r="24" spans="1:3" ht="16.5" customHeight="1">
      <c r="A24" s="167"/>
      <c r="B24" s="24">
        <v>45796</v>
      </c>
      <c r="C24" s="170"/>
    </row>
    <row r="25" spans="1:3" ht="16.5" customHeight="1">
      <c r="A25" s="167"/>
      <c r="B25" s="24">
        <v>45980</v>
      </c>
      <c r="C25" s="170"/>
    </row>
    <row r="26" spans="1:3" ht="16.5" customHeight="1">
      <c r="A26" s="167"/>
      <c r="B26" s="24">
        <v>45986</v>
      </c>
      <c r="C26" s="170"/>
    </row>
  </sheetData>
  <mergeCells count="5">
    <mergeCell ref="A5:A15"/>
    <mergeCell ref="C5:C15"/>
    <mergeCell ref="A16:A26"/>
    <mergeCell ref="C16:C26"/>
    <mergeCell ref="A2:C2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2:G29"/>
  <sheetViews>
    <sheetView view="pageBreakPreview" topLeftCell="A10" zoomScaleNormal="100" zoomScaleSheetLayoutView="100" workbookViewId="0">
      <selection activeCell="A25" sqref="A25"/>
    </sheetView>
  </sheetViews>
  <sheetFormatPr defaultColWidth="8.875" defaultRowHeight="13.5"/>
  <cols>
    <col min="1" max="1" width="7.875" style="6" customWidth="1"/>
    <col min="2" max="2" width="59.375" style="6" customWidth="1"/>
    <col min="3" max="4" width="12.25" style="6" customWidth="1"/>
    <col min="5" max="5" width="19.375" style="11" customWidth="1"/>
    <col min="6" max="6" width="13.875" style="6" customWidth="1"/>
    <col min="7" max="7" width="9.625" style="6" bestFit="1" customWidth="1"/>
    <col min="8" max="16384" width="8.875" style="6"/>
  </cols>
  <sheetData>
    <row r="2" spans="1:6">
      <c r="A2" s="173" t="s">
        <v>96</v>
      </c>
      <c r="B2" s="173"/>
      <c r="C2" s="7"/>
    </row>
    <row r="3" spans="1:6">
      <c r="A3" s="9"/>
    </row>
    <row r="4" spans="1:6" ht="31.5" customHeight="1">
      <c r="A4" s="18" t="s">
        <v>47</v>
      </c>
      <c r="B4" s="18" t="s">
        <v>48</v>
      </c>
      <c r="C4" s="18" t="s">
        <v>124</v>
      </c>
      <c r="D4" s="18" t="s">
        <v>49</v>
      </c>
      <c r="E4" s="21" t="s">
        <v>319</v>
      </c>
      <c r="F4" s="47" t="s">
        <v>125</v>
      </c>
    </row>
    <row r="5" spans="1:6" ht="48" customHeight="1">
      <c r="A5" s="12">
        <v>1</v>
      </c>
      <c r="B5" s="25" t="s">
        <v>248</v>
      </c>
      <c r="C5" s="45">
        <v>45771</v>
      </c>
      <c r="D5" s="45">
        <v>45771</v>
      </c>
      <c r="E5" s="46" t="s">
        <v>82</v>
      </c>
      <c r="F5" s="47" t="s">
        <v>208</v>
      </c>
    </row>
    <row r="6" spans="1:6" ht="44.25" customHeight="1">
      <c r="A6" s="12">
        <v>2</v>
      </c>
      <c r="B6" s="27" t="s">
        <v>209</v>
      </c>
      <c r="C6" s="45">
        <v>45772</v>
      </c>
      <c r="D6" s="45">
        <v>45772</v>
      </c>
      <c r="E6" s="21" t="s">
        <v>249</v>
      </c>
      <c r="F6" s="47" t="s">
        <v>208</v>
      </c>
    </row>
    <row r="7" spans="1:6" ht="42.75" customHeight="1">
      <c r="A7" s="12">
        <v>3</v>
      </c>
      <c r="B7" s="75" t="s">
        <v>250</v>
      </c>
      <c r="C7" s="45">
        <v>45774</v>
      </c>
      <c r="D7" s="45">
        <v>45774</v>
      </c>
      <c r="E7" s="46" t="s">
        <v>251</v>
      </c>
      <c r="F7" s="47" t="s">
        <v>208</v>
      </c>
    </row>
    <row r="8" spans="1:6" ht="40.5">
      <c r="A8" s="12">
        <v>4</v>
      </c>
      <c r="B8" s="25" t="s">
        <v>252</v>
      </c>
      <c r="C8" s="45">
        <v>45775</v>
      </c>
      <c r="D8" s="45">
        <v>45776</v>
      </c>
      <c r="E8" s="46" t="s">
        <v>251</v>
      </c>
      <c r="F8" s="47" t="s">
        <v>208</v>
      </c>
    </row>
    <row r="9" spans="1:6" ht="25.5">
      <c r="A9" s="12">
        <v>5</v>
      </c>
      <c r="B9" s="25" t="s">
        <v>253</v>
      </c>
      <c r="C9" s="45">
        <v>45776</v>
      </c>
      <c r="D9" s="45">
        <v>45778</v>
      </c>
      <c r="E9" s="46" t="s">
        <v>82</v>
      </c>
      <c r="F9" s="47" t="s">
        <v>208</v>
      </c>
    </row>
    <row r="10" spans="1:6" ht="30.75">
      <c r="A10" s="12">
        <v>6</v>
      </c>
      <c r="B10" s="75" t="s">
        <v>254</v>
      </c>
      <c r="C10" s="45">
        <v>45783</v>
      </c>
      <c r="D10" s="45">
        <v>45785</v>
      </c>
      <c r="E10" s="46" t="s">
        <v>82</v>
      </c>
      <c r="F10" s="47" t="s">
        <v>208</v>
      </c>
    </row>
    <row r="11" spans="1:6" ht="39" customHeight="1">
      <c r="A11" s="12">
        <v>7</v>
      </c>
      <c r="B11" s="25" t="s">
        <v>255</v>
      </c>
      <c r="C11" s="45">
        <v>45786</v>
      </c>
      <c r="D11" s="45">
        <v>45786</v>
      </c>
      <c r="E11" s="46" t="s">
        <v>256</v>
      </c>
      <c r="F11" s="47" t="s">
        <v>208</v>
      </c>
    </row>
    <row r="12" spans="1:6" ht="39" customHeight="1">
      <c r="A12" s="12">
        <v>8</v>
      </c>
      <c r="B12" s="25" t="s">
        <v>257</v>
      </c>
      <c r="C12" s="45">
        <v>45792</v>
      </c>
      <c r="D12" s="45">
        <v>45792</v>
      </c>
      <c r="E12" s="46" t="s">
        <v>82</v>
      </c>
      <c r="F12" s="47" t="s">
        <v>208</v>
      </c>
    </row>
    <row r="13" spans="1:6" ht="39" customHeight="1">
      <c r="A13" s="12">
        <v>9</v>
      </c>
      <c r="B13" s="25" t="s">
        <v>258</v>
      </c>
      <c r="C13" s="45">
        <v>45796</v>
      </c>
      <c r="D13" s="45">
        <v>45796</v>
      </c>
      <c r="E13" s="46" t="s">
        <v>82</v>
      </c>
      <c r="F13" s="47" t="s">
        <v>208</v>
      </c>
    </row>
    <row r="14" spans="1:6" s="53" customFormat="1" ht="39" customHeight="1">
      <c r="A14" s="88">
        <v>10</v>
      </c>
      <c r="B14" s="89" t="s">
        <v>272</v>
      </c>
      <c r="C14" s="90">
        <v>45979</v>
      </c>
      <c r="D14" s="90">
        <v>45979</v>
      </c>
      <c r="E14" s="85" t="s">
        <v>271</v>
      </c>
      <c r="F14" s="86" t="s">
        <v>208</v>
      </c>
    </row>
    <row r="15" spans="1:6" s="53" customFormat="1" ht="39" customHeight="1">
      <c r="A15" s="88">
        <v>11</v>
      </c>
      <c r="B15" s="89" t="s">
        <v>273</v>
      </c>
      <c r="C15" s="90">
        <v>45980</v>
      </c>
      <c r="D15" s="90">
        <v>45980</v>
      </c>
      <c r="E15" s="87" t="s">
        <v>363</v>
      </c>
      <c r="F15" s="86" t="s">
        <v>208</v>
      </c>
    </row>
    <row r="16" spans="1:6" s="53" customFormat="1" ht="39" customHeight="1">
      <c r="A16" s="88">
        <v>12</v>
      </c>
      <c r="B16" s="89" t="s">
        <v>273</v>
      </c>
      <c r="C16" s="90">
        <v>45986</v>
      </c>
      <c r="D16" s="90">
        <v>45987</v>
      </c>
      <c r="E16" s="87" t="s">
        <v>82</v>
      </c>
      <c r="F16" s="86" t="s">
        <v>208</v>
      </c>
    </row>
    <row r="17" spans="1:7">
      <c r="A17" s="8" t="s">
        <v>126</v>
      </c>
    </row>
    <row r="18" spans="1:7" ht="14.25" customHeight="1">
      <c r="A18" s="48" t="s">
        <v>259</v>
      </c>
    </row>
    <row r="19" spans="1:7">
      <c r="A19" s="48" t="s">
        <v>260</v>
      </c>
    </row>
    <row r="20" spans="1:7">
      <c r="A20" s="48" t="s">
        <v>261</v>
      </c>
    </row>
    <row r="21" spans="1:7" ht="15">
      <c r="A21" s="80" t="s">
        <v>262</v>
      </c>
      <c r="B21" s="10"/>
      <c r="C21" s="10"/>
      <c r="D21" s="10"/>
      <c r="E21" s="10"/>
    </row>
    <row r="22" spans="1:7" ht="15">
      <c r="A22" s="48" t="s">
        <v>263</v>
      </c>
      <c r="B22" s="10"/>
      <c r="C22" s="10"/>
      <c r="D22" s="10"/>
      <c r="E22" s="10"/>
    </row>
    <row r="23" spans="1:7" ht="15">
      <c r="A23" s="48" t="s">
        <v>264</v>
      </c>
      <c r="B23" s="10"/>
      <c r="C23" s="10"/>
      <c r="D23" s="10"/>
      <c r="E23" s="10"/>
    </row>
    <row r="24" spans="1:7" ht="15">
      <c r="A24" s="48" t="s">
        <v>265</v>
      </c>
      <c r="B24" s="10"/>
      <c r="C24" s="10"/>
      <c r="D24" s="10"/>
      <c r="E24" s="10"/>
    </row>
    <row r="25" spans="1:7" ht="15">
      <c r="A25" s="48" t="s">
        <v>364</v>
      </c>
      <c r="B25" s="10"/>
      <c r="C25" s="10"/>
      <c r="D25" s="10"/>
      <c r="E25" s="10"/>
    </row>
    <row r="26" spans="1:7" ht="15">
      <c r="B26" s="10"/>
      <c r="C26" s="10"/>
      <c r="D26" s="10"/>
      <c r="E26" s="10"/>
    </row>
    <row r="27" spans="1:7" ht="15">
      <c r="B27" s="10"/>
      <c r="C27" s="10"/>
      <c r="D27" s="10"/>
      <c r="E27" s="10"/>
      <c r="G27" s="14"/>
    </row>
    <row r="28" spans="1:7" ht="15">
      <c r="B28" s="10"/>
      <c r="C28" s="10"/>
      <c r="D28" s="10"/>
      <c r="E28" s="10"/>
    </row>
    <row r="29" spans="1:7" ht="15">
      <c r="B29" s="10"/>
      <c r="C29" s="10"/>
      <c r="D29" s="10"/>
      <c r="E29" s="10"/>
    </row>
  </sheetData>
  <mergeCells count="1">
    <mergeCell ref="A2:B2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2:D14"/>
  <sheetViews>
    <sheetView zoomScaleNormal="100" zoomScaleSheetLayoutView="100" workbookViewId="0">
      <selection activeCell="P24" sqref="P24"/>
    </sheetView>
  </sheetViews>
  <sheetFormatPr defaultColWidth="8.875" defaultRowHeight="13.5"/>
  <cols>
    <col min="1" max="4" width="17.5" style="4" customWidth="1"/>
    <col min="5" max="5" width="17.625" style="4" customWidth="1"/>
    <col min="6" max="16384" width="8.875" style="4"/>
  </cols>
  <sheetData>
    <row r="2" spans="1:4">
      <c r="A2" s="172" t="s">
        <v>95</v>
      </c>
      <c r="B2" s="172"/>
      <c r="C2" s="172"/>
    </row>
    <row r="4" spans="1:4">
      <c r="A4" s="4" t="s">
        <v>172</v>
      </c>
    </row>
    <row r="5" spans="1:4" ht="16.5" customHeight="1">
      <c r="A5" s="174" t="s">
        <v>47</v>
      </c>
      <c r="B5" s="175" t="s">
        <v>102</v>
      </c>
      <c r="C5" s="176"/>
      <c r="D5" s="177"/>
    </row>
    <row r="6" spans="1:4" ht="16.5" customHeight="1">
      <c r="A6" s="174"/>
      <c r="B6" s="18" t="s">
        <v>123</v>
      </c>
      <c r="C6" s="18" t="s">
        <v>50</v>
      </c>
      <c r="D6" s="16" t="s">
        <v>146</v>
      </c>
    </row>
    <row r="7" spans="1:4" ht="16.5" customHeight="1">
      <c r="A7" s="47">
        <v>1</v>
      </c>
      <c r="B7" s="5">
        <v>0.6</v>
      </c>
      <c r="C7" s="5">
        <v>0</v>
      </c>
      <c r="D7" s="5">
        <v>1.3</v>
      </c>
    </row>
    <row r="8" spans="1:4" ht="16.5" customHeight="1">
      <c r="A8" s="47">
        <v>2</v>
      </c>
      <c r="B8" s="5">
        <v>0</v>
      </c>
      <c r="C8" s="5">
        <v>0</v>
      </c>
      <c r="D8" s="5">
        <v>3.5</v>
      </c>
    </row>
    <row r="9" spans="1:4" ht="16.5" customHeight="1">
      <c r="A9" s="47">
        <v>5</v>
      </c>
      <c r="B9" s="5">
        <v>0</v>
      </c>
      <c r="C9" s="5">
        <v>0.6</v>
      </c>
      <c r="D9" s="5">
        <v>5.0999999999999996</v>
      </c>
    </row>
    <row r="10" spans="1:4" ht="16.5" customHeight="1">
      <c r="A10" s="47">
        <v>6</v>
      </c>
      <c r="B10" s="5">
        <v>0.6</v>
      </c>
      <c r="C10" s="5">
        <v>0.6</v>
      </c>
      <c r="D10" s="5">
        <v>1.4</v>
      </c>
    </row>
    <row r="11" spans="1:4" ht="16.5" customHeight="1">
      <c r="A11" s="47">
        <v>8</v>
      </c>
      <c r="B11" s="5">
        <v>0.6</v>
      </c>
      <c r="C11" s="5">
        <v>0</v>
      </c>
      <c r="D11" s="5">
        <v>0.5</v>
      </c>
    </row>
    <row r="12" spans="1:4" ht="16.5" customHeight="1">
      <c r="A12" s="47">
        <v>9</v>
      </c>
      <c r="B12" s="5">
        <v>0</v>
      </c>
      <c r="C12" s="5">
        <v>0.6</v>
      </c>
      <c r="D12" s="5">
        <v>2.1</v>
      </c>
    </row>
    <row r="13" spans="1:4" ht="16.5" customHeight="1">
      <c r="A13" s="47">
        <v>10</v>
      </c>
      <c r="B13" s="5">
        <v>0.6</v>
      </c>
      <c r="C13" s="5">
        <v>0.5</v>
      </c>
      <c r="D13" s="5">
        <v>1.7</v>
      </c>
    </row>
    <row r="14" spans="1:4">
      <c r="A14" s="47">
        <v>12</v>
      </c>
      <c r="B14" s="5">
        <v>0</v>
      </c>
      <c r="C14" s="5">
        <v>0</v>
      </c>
      <c r="D14" s="5">
        <v>4.7</v>
      </c>
    </row>
  </sheetData>
  <mergeCells count="3">
    <mergeCell ref="A2:C2"/>
    <mergeCell ref="A5:A6"/>
    <mergeCell ref="B5:D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2:I17"/>
  <sheetViews>
    <sheetView view="pageBreakPreview" zoomScaleNormal="100" zoomScaleSheetLayoutView="100" workbookViewId="0">
      <selection activeCell="G25" sqref="G25"/>
    </sheetView>
  </sheetViews>
  <sheetFormatPr defaultColWidth="8.875" defaultRowHeight="13.5"/>
  <cols>
    <col min="1" max="1" width="9.875" style="6" customWidth="1"/>
    <col min="2" max="2" width="15.125" style="6" customWidth="1"/>
    <col min="3" max="3" width="14.75" style="6" customWidth="1"/>
    <col min="4" max="6" width="11.125" style="6" customWidth="1"/>
    <col min="7" max="7" width="15" style="6" customWidth="1"/>
    <col min="8" max="8" width="9.75" style="6" customWidth="1"/>
    <col min="9" max="9" width="11.875" style="6" customWidth="1"/>
    <col min="10" max="10" width="11.125" style="6" customWidth="1"/>
    <col min="11" max="16384" width="8.875" style="6"/>
  </cols>
  <sheetData>
    <row r="2" spans="1:9" s="4" customFormat="1" ht="18" customHeight="1">
      <c r="A2" s="180" t="s">
        <v>87</v>
      </c>
      <c r="B2" s="180"/>
      <c r="C2" s="180"/>
    </row>
    <row r="3" spans="1:9" s="4" customFormat="1" ht="18" customHeight="1">
      <c r="A3" s="8"/>
      <c r="B3" s="8"/>
      <c r="C3" s="8"/>
    </row>
    <row r="4" spans="1:9" s="4" customFormat="1" ht="18" customHeight="1">
      <c r="A4" s="181" t="s">
        <v>173</v>
      </c>
      <c r="B4" s="181"/>
      <c r="C4" s="181"/>
    </row>
    <row r="5" spans="1:9" ht="70.5" customHeight="1">
      <c r="A5" s="18" t="s">
        <v>122</v>
      </c>
      <c r="B5" s="18" t="s">
        <v>80</v>
      </c>
      <c r="C5" s="18" t="s">
        <v>81</v>
      </c>
      <c r="D5" s="18" t="s">
        <v>160</v>
      </c>
      <c r="E5" s="18" t="s">
        <v>161</v>
      </c>
      <c r="F5" s="26" t="s">
        <v>162</v>
      </c>
      <c r="G5" s="18" t="s">
        <v>210</v>
      </c>
      <c r="H5" s="18" t="s">
        <v>108</v>
      </c>
      <c r="I5" s="18" t="s">
        <v>109</v>
      </c>
    </row>
    <row r="6" spans="1:9" ht="14.25" customHeight="1">
      <c r="A6" s="178">
        <v>1</v>
      </c>
      <c r="B6" s="18">
        <v>319</v>
      </c>
      <c r="C6" s="18">
        <v>76</v>
      </c>
      <c r="D6" s="18">
        <v>15274</v>
      </c>
      <c r="E6" s="18">
        <v>1896697</v>
      </c>
      <c r="F6" s="182">
        <f>ROUND(AVERAGE(D6:D7),0)</f>
        <v>15191</v>
      </c>
      <c r="G6" s="178">
        <f>ROUND(AVERAGE(E6:E7),0)</f>
        <v>1957944</v>
      </c>
      <c r="H6" s="81">
        <f>ROUND(B6/F6*100,1)</f>
        <v>2.1</v>
      </c>
      <c r="I6" s="81">
        <f>ROUND(C6/G6*100,1)</f>
        <v>0</v>
      </c>
    </row>
    <row r="7" spans="1:9" ht="14.25" customHeight="1">
      <c r="A7" s="179"/>
      <c r="B7" s="18">
        <v>331</v>
      </c>
      <c r="C7" s="18">
        <v>95</v>
      </c>
      <c r="D7" s="18">
        <v>15107</v>
      </c>
      <c r="E7" s="18">
        <v>2019191</v>
      </c>
      <c r="F7" s="183"/>
      <c r="G7" s="179"/>
      <c r="H7" s="81">
        <f>ROUND(B7/F6*100,1)</f>
        <v>2.2000000000000002</v>
      </c>
      <c r="I7" s="81">
        <f>ROUND(C7/G6*100,1)</f>
        <v>0</v>
      </c>
    </row>
    <row r="8" spans="1:9" ht="14.25" customHeight="1">
      <c r="A8" s="178">
        <v>5</v>
      </c>
      <c r="B8" s="18">
        <v>171</v>
      </c>
      <c r="C8" s="18">
        <v>88</v>
      </c>
      <c r="D8" s="18">
        <v>11902</v>
      </c>
      <c r="E8" s="18">
        <v>1236691</v>
      </c>
      <c r="F8" s="182">
        <f>ROUND(AVERAGE(D8:D9),0)</f>
        <v>12296</v>
      </c>
      <c r="G8" s="178">
        <f t="shared" ref="G8" si="0">ROUND(AVERAGE(E8:E9),0)</f>
        <v>1289066</v>
      </c>
      <c r="H8" s="81">
        <f>ROUND(B8/F8*100,1)</f>
        <v>1.4</v>
      </c>
      <c r="I8" s="81">
        <f>ROUND(C8/G8*100,1)</f>
        <v>0</v>
      </c>
    </row>
    <row r="9" spans="1:9" ht="14.25" customHeight="1">
      <c r="A9" s="179"/>
      <c r="B9" s="18">
        <v>151</v>
      </c>
      <c r="C9" s="18">
        <v>88</v>
      </c>
      <c r="D9" s="18">
        <v>12690</v>
      </c>
      <c r="E9" s="18">
        <v>1341441</v>
      </c>
      <c r="F9" s="183"/>
      <c r="G9" s="179"/>
      <c r="H9" s="81">
        <f>ROUND(B9/F8*100,1)</f>
        <v>1.2</v>
      </c>
      <c r="I9" s="81">
        <f>ROUND(C9/G8*100,1)</f>
        <v>0</v>
      </c>
    </row>
    <row r="10" spans="1:9" ht="14.25" customHeight="1">
      <c r="A10" s="178">
        <v>6</v>
      </c>
      <c r="B10" s="18">
        <v>863</v>
      </c>
      <c r="C10" s="18">
        <v>28</v>
      </c>
      <c r="D10" s="18">
        <v>10960</v>
      </c>
      <c r="E10" s="18">
        <v>904870</v>
      </c>
      <c r="F10" s="182">
        <f>ROUND(AVERAGE(D10:D11),0)</f>
        <v>12024</v>
      </c>
      <c r="G10" s="178">
        <f t="shared" ref="G10" si="1">ROUND(AVERAGE(E10:E11),0)</f>
        <v>1226291</v>
      </c>
      <c r="H10" s="81">
        <f>ROUND(B10/F10*100,1)</f>
        <v>7.2</v>
      </c>
      <c r="I10" s="81">
        <f>ROUND(C10/G10*100,1)</f>
        <v>0</v>
      </c>
    </row>
    <row r="11" spans="1:9" ht="14.25" customHeight="1">
      <c r="A11" s="179"/>
      <c r="B11" s="18">
        <v>367</v>
      </c>
      <c r="C11" s="18">
        <v>38</v>
      </c>
      <c r="D11" s="18">
        <v>13087</v>
      </c>
      <c r="E11" s="18">
        <v>1547711</v>
      </c>
      <c r="F11" s="183"/>
      <c r="G11" s="179"/>
      <c r="H11" s="81">
        <f>ROUND(B11/F10*100,1)</f>
        <v>3.1</v>
      </c>
      <c r="I11" s="81">
        <f>ROUND(C11/G10*100,1)</f>
        <v>0</v>
      </c>
    </row>
    <row r="12" spans="1:9" ht="14.25" customHeight="1">
      <c r="A12" s="178">
        <v>8</v>
      </c>
      <c r="B12" s="18">
        <v>667</v>
      </c>
      <c r="C12" s="18">
        <v>77</v>
      </c>
      <c r="D12" s="18">
        <v>11595</v>
      </c>
      <c r="E12" s="18">
        <v>1505026</v>
      </c>
      <c r="F12" s="182">
        <f>ROUND(AVERAGE(D12:D13),0)</f>
        <v>11491</v>
      </c>
      <c r="G12" s="178">
        <f t="shared" ref="G12" si="2">ROUND(AVERAGE(E12:E13),0)</f>
        <v>1442947</v>
      </c>
      <c r="H12" s="81">
        <f>ROUND(B12/F12*100,1)</f>
        <v>5.8</v>
      </c>
      <c r="I12" s="81">
        <f>ROUND(C12/G12*100,1)</f>
        <v>0</v>
      </c>
    </row>
    <row r="13" spans="1:9" ht="14.25" customHeight="1">
      <c r="A13" s="179"/>
      <c r="B13" s="18">
        <v>509</v>
      </c>
      <c r="C13" s="18">
        <v>110</v>
      </c>
      <c r="D13" s="18">
        <v>11386</v>
      </c>
      <c r="E13" s="18">
        <v>1380867</v>
      </c>
      <c r="F13" s="183"/>
      <c r="G13" s="179"/>
      <c r="H13" s="81">
        <f>ROUND(B13/F12*100,1)</f>
        <v>4.4000000000000004</v>
      </c>
      <c r="I13" s="81">
        <f>ROUND(C13/G12*100,1)</f>
        <v>0</v>
      </c>
    </row>
    <row r="14" spans="1:9">
      <c r="A14" s="178">
        <v>9</v>
      </c>
      <c r="B14" s="18">
        <v>1541</v>
      </c>
      <c r="C14" s="18">
        <v>56</v>
      </c>
      <c r="D14" s="18">
        <v>13300</v>
      </c>
      <c r="E14" s="18">
        <v>1913323</v>
      </c>
      <c r="F14" s="182">
        <f>ROUND(AVERAGE(D14:D15),0)</f>
        <v>13654</v>
      </c>
      <c r="G14" s="178">
        <f>ROUND(AVERAGE(E14:E15),0)</f>
        <v>1888177</v>
      </c>
      <c r="H14" s="81">
        <f>ROUND(B14/F14*100,1)</f>
        <v>11.3</v>
      </c>
      <c r="I14" s="81">
        <f>ROUND(C14/G14*100,1)</f>
        <v>0</v>
      </c>
    </row>
    <row r="15" spans="1:9">
      <c r="A15" s="179"/>
      <c r="B15" s="18">
        <v>1223</v>
      </c>
      <c r="C15" s="18">
        <v>97</v>
      </c>
      <c r="D15" s="18">
        <v>14008</v>
      </c>
      <c r="E15" s="18">
        <v>1863031</v>
      </c>
      <c r="F15" s="183"/>
      <c r="G15" s="179"/>
      <c r="H15" s="81">
        <f>ROUND(B15/F14*100,1)</f>
        <v>9</v>
      </c>
      <c r="I15" s="81">
        <f>ROUND(C15/G14*100,1)</f>
        <v>0</v>
      </c>
    </row>
    <row r="16" spans="1:9">
      <c r="A16" s="178">
        <v>12</v>
      </c>
      <c r="B16" s="18">
        <v>48</v>
      </c>
      <c r="C16" s="18">
        <v>29</v>
      </c>
      <c r="D16" s="18">
        <v>3008</v>
      </c>
      <c r="E16" s="18">
        <v>299766</v>
      </c>
      <c r="F16" s="182">
        <f>ROUND(AVERAGE(D16:D17),0)</f>
        <v>2710</v>
      </c>
      <c r="G16" s="178">
        <f t="shared" ref="G16" si="3">ROUND(AVERAGE(E16:E17),0)</f>
        <v>310178</v>
      </c>
      <c r="H16" s="81">
        <f>ROUND(B16/F16*100,1)</f>
        <v>1.8</v>
      </c>
      <c r="I16" s="81">
        <f>ROUND(C16/G16*100,1)</f>
        <v>0</v>
      </c>
    </row>
    <row r="17" spans="1:9">
      <c r="A17" s="179"/>
      <c r="B17" s="18">
        <v>190</v>
      </c>
      <c r="C17" s="18">
        <v>32</v>
      </c>
      <c r="D17" s="18">
        <v>2412</v>
      </c>
      <c r="E17" s="18">
        <v>320590</v>
      </c>
      <c r="F17" s="183"/>
      <c r="G17" s="179"/>
      <c r="H17" s="81">
        <f>ROUND(B17/F16*100,1)</f>
        <v>7</v>
      </c>
      <c r="I17" s="81">
        <f>ROUND(C17/G16*100,1)</f>
        <v>0</v>
      </c>
    </row>
  </sheetData>
  <mergeCells count="20">
    <mergeCell ref="A16:A17"/>
    <mergeCell ref="F16:F17"/>
    <mergeCell ref="G16:G17"/>
    <mergeCell ref="A14:A15"/>
    <mergeCell ref="F14:F15"/>
    <mergeCell ref="G14:G15"/>
    <mergeCell ref="F12:F13"/>
    <mergeCell ref="G6:G7"/>
    <mergeCell ref="G8:G9"/>
    <mergeCell ref="G10:G11"/>
    <mergeCell ref="G12:G13"/>
    <mergeCell ref="F6:F7"/>
    <mergeCell ref="F8:F9"/>
    <mergeCell ref="F10:F11"/>
    <mergeCell ref="A12:A13"/>
    <mergeCell ref="A2:C2"/>
    <mergeCell ref="A4:C4"/>
    <mergeCell ref="A6:A7"/>
    <mergeCell ref="A8:A9"/>
    <mergeCell ref="A10:A11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76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2:G60"/>
  <sheetViews>
    <sheetView view="pageBreakPreview" zoomScaleNormal="100" zoomScaleSheetLayoutView="100" zoomScalePageLayoutView="90" workbookViewId="0">
      <selection activeCell="F33" sqref="F33"/>
    </sheetView>
  </sheetViews>
  <sheetFormatPr defaultColWidth="8.875" defaultRowHeight="13.5"/>
  <cols>
    <col min="1" max="1" width="12.5" style="2" customWidth="1"/>
    <col min="2" max="2" width="12.25" style="2" customWidth="1"/>
    <col min="3" max="3" width="11.75" style="2" customWidth="1"/>
    <col min="4" max="4" width="13.5" style="2" customWidth="1"/>
    <col min="5" max="5" width="9.375" style="2" customWidth="1"/>
    <col min="6" max="6" width="13.5" style="2" customWidth="1"/>
    <col min="7" max="7" width="15.125" style="2" customWidth="1"/>
    <col min="8" max="16384" width="8.875" style="2"/>
  </cols>
  <sheetData>
    <row r="2" spans="1:7" ht="15.75" customHeight="1">
      <c r="A2" s="186" t="s">
        <v>93</v>
      </c>
      <c r="B2" s="186"/>
      <c r="C2" s="186"/>
      <c r="D2" s="186"/>
    </row>
    <row r="3" spans="1:7" ht="15.75" customHeight="1">
      <c r="A3" s="60"/>
      <c r="B3" s="60"/>
      <c r="C3" s="60"/>
      <c r="D3" s="60"/>
    </row>
    <row r="4" spans="1:7" ht="15.75" customHeight="1">
      <c r="A4" s="185" t="s">
        <v>164</v>
      </c>
      <c r="B4" s="173"/>
      <c r="C4" s="173"/>
      <c r="D4" s="173"/>
    </row>
    <row r="5" spans="1:7" s="61" customFormat="1" ht="30" customHeight="1">
      <c r="A5" s="16" t="s">
        <v>84</v>
      </c>
      <c r="B5" s="16" t="s">
        <v>121</v>
      </c>
      <c r="C5" s="16" t="s">
        <v>53</v>
      </c>
      <c r="D5" s="16" t="s">
        <v>54</v>
      </c>
      <c r="E5" s="16" t="s">
        <v>56</v>
      </c>
      <c r="F5" s="16" t="s">
        <v>106</v>
      </c>
      <c r="G5" s="16" t="s">
        <v>107</v>
      </c>
    </row>
    <row r="6" spans="1:7" s="61" customFormat="1">
      <c r="A6" s="62">
        <v>45771</v>
      </c>
      <c r="B6" s="63">
        <v>1</v>
      </c>
      <c r="C6" s="113">
        <v>1.5410000000000001E-4</v>
      </c>
      <c r="D6" s="114">
        <v>-8.5320000000000003E-5</v>
      </c>
      <c r="E6" s="64">
        <v>0.99550000000000005</v>
      </c>
      <c r="F6" s="65">
        <v>50</v>
      </c>
      <c r="G6" s="65">
        <v>25000</v>
      </c>
    </row>
    <row r="7" spans="1:7" s="61" customFormat="1" ht="16.5" customHeight="1">
      <c r="A7" s="62">
        <v>45778</v>
      </c>
      <c r="B7" s="63">
        <v>5</v>
      </c>
      <c r="C7" s="113">
        <v>1.828E-4</v>
      </c>
      <c r="D7" s="113">
        <v>2.7060000000000002E-4</v>
      </c>
      <c r="E7" s="64">
        <v>0.996</v>
      </c>
      <c r="F7" s="65">
        <v>50</v>
      </c>
      <c r="G7" s="65">
        <v>25000</v>
      </c>
    </row>
    <row r="8" spans="1:7" s="61" customFormat="1" ht="16.5" customHeight="1">
      <c r="A8" s="62">
        <v>45785</v>
      </c>
      <c r="B8" s="63">
        <v>6</v>
      </c>
      <c r="C8" s="113">
        <v>2.5399999999999999E-4</v>
      </c>
      <c r="D8" s="112">
        <v>-2.1710000000000002E-3</v>
      </c>
      <c r="E8" s="64">
        <v>0.99309999999999998</v>
      </c>
      <c r="F8" s="65">
        <v>50</v>
      </c>
      <c r="G8" s="65">
        <v>25000</v>
      </c>
    </row>
    <row r="9" spans="1:7" s="61" customFormat="1" ht="16.5" customHeight="1">
      <c r="A9" s="62">
        <v>45792</v>
      </c>
      <c r="B9" s="63">
        <v>8</v>
      </c>
      <c r="C9" s="113">
        <v>1.6540000000000001E-4</v>
      </c>
      <c r="D9" s="113">
        <v>-3.5849999999999999E-4</v>
      </c>
      <c r="E9" s="64">
        <v>0.99850000000000005</v>
      </c>
      <c r="F9" s="65">
        <v>50</v>
      </c>
      <c r="G9" s="65">
        <v>25000</v>
      </c>
    </row>
    <row r="10" spans="1:7" s="61" customFormat="1" ht="16.5" customHeight="1">
      <c r="A10" s="62">
        <v>45796</v>
      </c>
      <c r="B10" s="63">
        <v>9</v>
      </c>
      <c r="C10" s="113">
        <v>1.539E-4</v>
      </c>
      <c r="D10" s="113">
        <v>-5.9670000000000003E-4</v>
      </c>
      <c r="E10" s="64">
        <v>0.998</v>
      </c>
      <c r="F10" s="65">
        <v>50</v>
      </c>
      <c r="G10" s="65">
        <v>25000</v>
      </c>
    </row>
    <row r="11" spans="1:7" s="61" customFormat="1" ht="16.5" customHeight="1">
      <c r="A11" s="62">
        <v>45987</v>
      </c>
      <c r="B11" s="63">
        <v>12</v>
      </c>
      <c r="C11" s="113">
        <v>2.051E-4</v>
      </c>
      <c r="D11" s="112">
        <v>-1.3569999999999999E-3</v>
      </c>
      <c r="E11" s="64">
        <v>0.99509999999999998</v>
      </c>
      <c r="F11" s="65">
        <v>50</v>
      </c>
      <c r="G11" s="65">
        <v>25000</v>
      </c>
    </row>
    <row r="12" spans="1:7" s="61" customFormat="1" ht="16.5" customHeight="1">
      <c r="A12" s="16" t="s">
        <v>55</v>
      </c>
      <c r="B12" s="184"/>
      <c r="C12" s="113">
        <v>1.8589999999999999E-4</v>
      </c>
      <c r="D12" s="113">
        <v>-7.1630000000000001E-4</v>
      </c>
      <c r="E12" s="64">
        <v>0.996</v>
      </c>
      <c r="F12" s="184"/>
      <c r="G12" s="184"/>
    </row>
    <row r="13" spans="1:7" s="61" customFormat="1" ht="16.5" customHeight="1">
      <c r="A13" s="16" t="s">
        <v>5</v>
      </c>
      <c r="B13" s="184"/>
      <c r="C13" s="114">
        <v>3.8659999999999999E-5</v>
      </c>
      <c r="D13" s="113">
        <v>8.9899999999999995E-4</v>
      </c>
      <c r="E13" s="64">
        <v>2E-3</v>
      </c>
      <c r="F13" s="184"/>
      <c r="G13" s="184"/>
    </row>
    <row r="14" spans="1:7" s="61" customFormat="1" ht="16.5" customHeight="1">
      <c r="A14" s="16" t="s">
        <v>102</v>
      </c>
      <c r="B14" s="184"/>
      <c r="C14" s="66">
        <v>20.8</v>
      </c>
      <c r="D14" s="66">
        <v>-125.5</v>
      </c>
      <c r="E14" s="66">
        <v>0.2</v>
      </c>
      <c r="F14" s="184"/>
      <c r="G14" s="184"/>
    </row>
    <row r="15" spans="1:7" s="61" customFormat="1" ht="16.5" customHeight="1">
      <c r="A15" s="16" t="s">
        <v>7</v>
      </c>
      <c r="B15" s="184"/>
      <c r="C15" s="63">
        <v>6</v>
      </c>
      <c r="D15" s="63">
        <v>6</v>
      </c>
      <c r="E15" s="63">
        <v>6</v>
      </c>
      <c r="F15" s="184"/>
      <c r="G15" s="184"/>
    </row>
    <row r="16" spans="1:7">
      <c r="A16" s="2" t="s">
        <v>94</v>
      </c>
    </row>
    <row r="19" spans="1:7" s="6" customFormat="1">
      <c r="A19" s="185" t="s">
        <v>163</v>
      </c>
      <c r="B19" s="173"/>
      <c r="C19" s="173"/>
      <c r="D19" s="173"/>
    </row>
    <row r="20" spans="1:7" s="61" customFormat="1" ht="30" customHeight="1">
      <c r="A20" s="16" t="s">
        <v>84</v>
      </c>
      <c r="B20" s="16" t="s">
        <v>121</v>
      </c>
      <c r="C20" s="16" t="s">
        <v>53</v>
      </c>
      <c r="D20" s="16" t="s">
        <v>54</v>
      </c>
      <c r="E20" s="16" t="s">
        <v>56</v>
      </c>
      <c r="F20" s="16" t="s">
        <v>106</v>
      </c>
      <c r="G20" s="16" t="s">
        <v>107</v>
      </c>
    </row>
    <row r="21" spans="1:7" s="61" customFormat="1">
      <c r="A21" s="62">
        <v>45774</v>
      </c>
      <c r="B21" s="63">
        <v>3</v>
      </c>
      <c r="C21" s="113">
        <v>1.4660000000000001E-4</v>
      </c>
      <c r="D21" s="112">
        <v>2.222E-3</v>
      </c>
      <c r="E21" s="64">
        <v>0.9889</v>
      </c>
      <c r="F21" s="65">
        <v>50</v>
      </c>
      <c r="G21" s="65">
        <v>25000</v>
      </c>
    </row>
    <row r="22" spans="1:7" s="61" customFormat="1">
      <c r="A22" s="62">
        <v>45776</v>
      </c>
      <c r="B22" s="63">
        <v>4</v>
      </c>
      <c r="C22" s="113">
        <v>2.2939999999999999E-4</v>
      </c>
      <c r="D22" s="112">
        <v>-1.0870000000000001E-3</v>
      </c>
      <c r="E22" s="64">
        <v>0.99319999999999997</v>
      </c>
      <c r="F22" s="65">
        <v>50</v>
      </c>
      <c r="G22" s="65">
        <v>25000</v>
      </c>
    </row>
    <row r="23" spans="1:7" s="61" customFormat="1" ht="16.5" customHeight="1">
      <c r="A23" s="62">
        <v>45786</v>
      </c>
      <c r="B23" s="63">
        <v>7</v>
      </c>
      <c r="C23" s="113">
        <v>2.3350000000000001E-4</v>
      </c>
      <c r="D23" s="112">
        <v>-3.0669999999999998E-3</v>
      </c>
      <c r="E23" s="64">
        <v>0.99199999999999999</v>
      </c>
      <c r="F23" s="65">
        <v>50</v>
      </c>
      <c r="G23" s="65">
        <v>25000</v>
      </c>
    </row>
    <row r="24" spans="1:7" s="61" customFormat="1" ht="16.5" customHeight="1">
      <c r="A24" s="62">
        <v>45980</v>
      </c>
      <c r="B24" s="63">
        <v>11</v>
      </c>
      <c r="C24" s="113">
        <v>2.2499999999999999E-4</v>
      </c>
      <c r="D24" s="112">
        <v>-4.2440000000000004E-3</v>
      </c>
      <c r="E24" s="64">
        <v>0.995</v>
      </c>
      <c r="F24" s="65">
        <v>50</v>
      </c>
      <c r="G24" s="65">
        <v>25000</v>
      </c>
    </row>
    <row r="25" spans="1:7" s="61" customFormat="1" ht="16.5" customHeight="1">
      <c r="A25" s="16" t="s">
        <v>55</v>
      </c>
      <c r="B25" s="184"/>
      <c r="C25" s="113">
        <v>2.086E-4</v>
      </c>
      <c r="D25" s="112">
        <v>-1.544E-3</v>
      </c>
      <c r="E25" s="64">
        <v>0.99229999999999996</v>
      </c>
      <c r="F25" s="184"/>
      <c r="G25" s="184"/>
    </row>
    <row r="26" spans="1:7" s="61" customFormat="1" ht="16.5" customHeight="1">
      <c r="A26" s="16" t="s">
        <v>5</v>
      </c>
      <c r="B26" s="184"/>
      <c r="C26" s="114">
        <v>4.1499999999999999E-5</v>
      </c>
      <c r="D26" s="112">
        <v>2.8279999999999998E-3</v>
      </c>
      <c r="E26" s="64">
        <v>2.5999999999999999E-3</v>
      </c>
      <c r="F26" s="184"/>
      <c r="G26" s="184"/>
    </row>
    <row r="27" spans="1:7" s="61" customFormat="1" ht="16.5" customHeight="1">
      <c r="A27" s="16" t="s">
        <v>102</v>
      </c>
      <c r="B27" s="184"/>
      <c r="C27" s="66">
        <v>19.899999999999999</v>
      </c>
      <c r="D27" s="66">
        <v>-183.2</v>
      </c>
      <c r="E27" s="66">
        <v>0.3</v>
      </c>
      <c r="F27" s="184"/>
      <c r="G27" s="184"/>
    </row>
    <row r="28" spans="1:7" s="61" customFormat="1" ht="16.5" customHeight="1">
      <c r="A28" s="16" t="s">
        <v>7</v>
      </c>
      <c r="B28" s="184"/>
      <c r="C28" s="63">
        <v>4</v>
      </c>
      <c r="D28" s="63">
        <v>4</v>
      </c>
      <c r="E28" s="63">
        <v>4</v>
      </c>
      <c r="F28" s="184"/>
      <c r="G28" s="184"/>
    </row>
    <row r="29" spans="1:7">
      <c r="A29" s="2" t="s">
        <v>94</v>
      </c>
    </row>
    <row r="30" spans="1:7">
      <c r="A30" s="67" t="s">
        <v>167</v>
      </c>
    </row>
    <row r="59" spans="2:2">
      <c r="B59" s="6"/>
    </row>
    <row r="60" spans="2:2">
      <c r="B60" s="6"/>
    </row>
  </sheetData>
  <mergeCells count="7">
    <mergeCell ref="B25:B28"/>
    <mergeCell ref="F25:G28"/>
    <mergeCell ref="A4:D4"/>
    <mergeCell ref="A2:D2"/>
    <mergeCell ref="B12:B15"/>
    <mergeCell ref="F12:G15"/>
    <mergeCell ref="A19:D1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96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2:R63"/>
  <sheetViews>
    <sheetView view="pageBreakPreview" zoomScaleNormal="100" zoomScaleSheetLayoutView="100" workbookViewId="0">
      <selection activeCell="AE17" sqref="AE17"/>
    </sheetView>
  </sheetViews>
  <sheetFormatPr defaultColWidth="8.875" defaultRowHeight="13.5"/>
  <cols>
    <col min="1" max="1" width="12.75" style="72" customWidth="1"/>
    <col min="2" max="2" width="7.375" style="72" customWidth="1"/>
    <col min="3" max="3" width="8.875" style="72" customWidth="1"/>
    <col min="4" max="4" width="6.875" style="121" customWidth="1"/>
    <col min="5" max="5" width="11.375" style="72" customWidth="1"/>
    <col min="6" max="6" width="7.25" style="121" customWidth="1"/>
    <col min="7" max="7" width="10.125" style="72" customWidth="1"/>
    <col min="8" max="8" width="7.375" style="121" customWidth="1"/>
    <col min="9" max="9" width="11.5" style="72" customWidth="1"/>
    <col min="10" max="10" width="6.75" style="121" customWidth="1"/>
    <col min="11" max="11" width="12.75" style="72" customWidth="1"/>
    <col min="12" max="12" width="7.25" style="121" customWidth="1"/>
    <col min="13" max="13" width="12.875" style="72" customWidth="1"/>
    <col min="14" max="14" width="7" style="121" customWidth="1"/>
    <col min="15" max="15" width="11.5" style="72" customWidth="1"/>
    <col min="16" max="16" width="6.625" style="121" customWidth="1"/>
    <col min="17" max="17" width="10.875" style="72" customWidth="1"/>
    <col min="18" max="18" width="6.875" style="121" customWidth="1"/>
    <col min="19" max="16384" width="8.875" style="72"/>
  </cols>
  <sheetData>
    <row r="2" spans="1:18">
      <c r="A2" s="194" t="s">
        <v>92</v>
      </c>
      <c r="B2" s="194"/>
      <c r="C2" s="194"/>
      <c r="D2" s="194"/>
      <c r="E2" s="194"/>
    </row>
    <row r="3" spans="1:18">
      <c r="A3" s="17"/>
      <c r="B3" s="17"/>
      <c r="C3" s="17"/>
      <c r="D3" s="117"/>
      <c r="E3" s="17"/>
    </row>
    <row r="4" spans="1:18">
      <c r="A4" s="188" t="s">
        <v>164</v>
      </c>
      <c r="B4" s="181"/>
      <c r="C4" s="181"/>
      <c r="D4" s="181"/>
      <c r="E4" s="181"/>
    </row>
    <row r="5" spans="1:18" ht="14.1" customHeight="1">
      <c r="A5" s="189" t="s">
        <v>52</v>
      </c>
      <c r="B5" s="189" t="s">
        <v>57</v>
      </c>
      <c r="C5" s="16" t="s">
        <v>8</v>
      </c>
      <c r="D5" s="187" t="s">
        <v>105</v>
      </c>
      <c r="E5" s="16" t="s">
        <v>31</v>
      </c>
      <c r="F5" s="187" t="s">
        <v>105</v>
      </c>
      <c r="G5" s="16" t="s">
        <v>32</v>
      </c>
      <c r="H5" s="187" t="s">
        <v>105</v>
      </c>
      <c r="I5" s="16" t="s">
        <v>33</v>
      </c>
      <c r="J5" s="187" t="s">
        <v>105</v>
      </c>
      <c r="K5" s="16" t="s">
        <v>34</v>
      </c>
      <c r="L5" s="187" t="s">
        <v>97</v>
      </c>
      <c r="M5" s="16" t="s">
        <v>35</v>
      </c>
      <c r="N5" s="187" t="s">
        <v>97</v>
      </c>
      <c r="O5" s="16" t="s">
        <v>36</v>
      </c>
      <c r="P5" s="187" t="s">
        <v>97</v>
      </c>
      <c r="Q5" s="16" t="s">
        <v>38</v>
      </c>
      <c r="R5" s="187" t="s">
        <v>97</v>
      </c>
    </row>
    <row r="6" spans="1:18">
      <c r="A6" s="189"/>
      <c r="B6" s="189"/>
      <c r="C6" s="110">
        <v>50</v>
      </c>
      <c r="D6" s="187"/>
      <c r="E6" s="110">
        <v>100</v>
      </c>
      <c r="F6" s="187"/>
      <c r="G6" s="110">
        <v>500</v>
      </c>
      <c r="H6" s="187"/>
      <c r="I6" s="110">
        <v>2500</v>
      </c>
      <c r="J6" s="187"/>
      <c r="K6" s="110">
        <v>5000</v>
      </c>
      <c r="L6" s="187"/>
      <c r="M6" s="110">
        <v>10000</v>
      </c>
      <c r="N6" s="187"/>
      <c r="O6" s="110">
        <v>20000</v>
      </c>
      <c r="P6" s="187"/>
      <c r="Q6" s="110">
        <v>25000</v>
      </c>
      <c r="R6" s="187"/>
    </row>
    <row r="7" spans="1:18">
      <c r="A7" s="189"/>
      <c r="B7" s="189"/>
      <c r="C7" s="76" t="s">
        <v>37</v>
      </c>
      <c r="D7" s="187"/>
      <c r="E7" s="76" t="s">
        <v>37</v>
      </c>
      <c r="F7" s="187"/>
      <c r="G7" s="76" t="s">
        <v>37</v>
      </c>
      <c r="H7" s="187"/>
      <c r="I7" s="76" t="s">
        <v>37</v>
      </c>
      <c r="J7" s="187"/>
      <c r="K7" s="76" t="s">
        <v>37</v>
      </c>
      <c r="L7" s="187"/>
      <c r="M7" s="76" t="s">
        <v>37</v>
      </c>
      <c r="N7" s="187"/>
      <c r="O7" s="76" t="s">
        <v>37</v>
      </c>
      <c r="P7" s="187"/>
      <c r="Q7" s="76" t="s">
        <v>37</v>
      </c>
      <c r="R7" s="187"/>
    </row>
    <row r="8" spans="1:18">
      <c r="A8" s="190">
        <v>45771</v>
      </c>
      <c r="B8" s="192">
        <v>1</v>
      </c>
      <c r="C8" s="83">
        <v>52.814</v>
      </c>
      <c r="D8" s="118">
        <v>5.6</v>
      </c>
      <c r="E8" s="83">
        <v>104.54300000000001</v>
      </c>
      <c r="F8" s="118">
        <v>4.5</v>
      </c>
      <c r="G8" s="83">
        <v>539.95500000000004</v>
      </c>
      <c r="H8" s="118">
        <v>8</v>
      </c>
      <c r="I8" s="83">
        <v>2571.8510000000001</v>
      </c>
      <c r="J8" s="118">
        <v>2.9</v>
      </c>
      <c r="K8" s="83">
        <v>5126.3850000000002</v>
      </c>
      <c r="L8" s="118">
        <v>2.5</v>
      </c>
      <c r="M8" s="83">
        <v>11111.918</v>
      </c>
      <c r="N8" s="118">
        <v>11.1</v>
      </c>
      <c r="O8" s="83">
        <v>20022.547999999999</v>
      </c>
      <c r="P8" s="118">
        <v>0.1</v>
      </c>
      <c r="Q8" s="83">
        <v>24497.519</v>
      </c>
      <c r="R8" s="118">
        <v>-2</v>
      </c>
    </row>
    <row r="9" spans="1:18">
      <c r="A9" s="191"/>
      <c r="B9" s="193"/>
      <c r="C9" s="83">
        <v>49.109000000000002</v>
      </c>
      <c r="D9" s="118">
        <v>-1.8</v>
      </c>
      <c r="E9" s="83">
        <v>86.911000000000001</v>
      </c>
      <c r="F9" s="118">
        <v>-13.1</v>
      </c>
      <c r="G9" s="83">
        <v>480.024</v>
      </c>
      <c r="H9" s="118">
        <v>-4</v>
      </c>
      <c r="I9" s="83">
        <v>2440.404</v>
      </c>
      <c r="J9" s="118">
        <v>-2.4</v>
      </c>
      <c r="K9" s="83">
        <v>4796.8180000000002</v>
      </c>
      <c r="L9" s="118">
        <v>-4.0999999999999996</v>
      </c>
      <c r="M9" s="83">
        <v>9845.1119999999992</v>
      </c>
      <c r="N9" s="118">
        <v>-1.5</v>
      </c>
      <c r="O9" s="83">
        <v>20336.079000000002</v>
      </c>
      <c r="P9" s="118">
        <v>1.7</v>
      </c>
      <c r="Q9" s="83">
        <v>23099.221000000001</v>
      </c>
      <c r="R9" s="118">
        <v>-7.6</v>
      </c>
    </row>
    <row r="10" spans="1:18">
      <c r="A10" s="190">
        <v>45778</v>
      </c>
      <c r="B10" s="192">
        <v>5</v>
      </c>
      <c r="C10" s="83">
        <v>51.158999999999999</v>
      </c>
      <c r="D10" s="118">
        <v>2.2999999999999998</v>
      </c>
      <c r="E10" s="83">
        <v>104.557</v>
      </c>
      <c r="F10" s="118">
        <v>4.5999999999999996</v>
      </c>
      <c r="G10" s="83">
        <v>513.98199999999997</v>
      </c>
      <c r="H10" s="118">
        <v>2.8</v>
      </c>
      <c r="I10" s="83">
        <v>2418.4679999999998</v>
      </c>
      <c r="J10" s="118">
        <v>-3.3</v>
      </c>
      <c r="K10" s="83">
        <v>5010.4750000000004</v>
      </c>
      <c r="L10" s="118">
        <v>0.2</v>
      </c>
      <c r="M10" s="83">
        <v>10823.995999999999</v>
      </c>
      <c r="N10" s="118">
        <v>8.1999999999999993</v>
      </c>
      <c r="O10" s="83">
        <v>20362</v>
      </c>
      <c r="P10" s="118">
        <v>1.8</v>
      </c>
      <c r="Q10" s="83">
        <v>25505.447</v>
      </c>
      <c r="R10" s="118">
        <v>2</v>
      </c>
    </row>
    <row r="11" spans="1:18">
      <c r="A11" s="191"/>
      <c r="B11" s="193"/>
      <c r="C11" s="83">
        <v>50.262</v>
      </c>
      <c r="D11" s="118">
        <v>0.5</v>
      </c>
      <c r="E11" s="83">
        <v>90.813000000000002</v>
      </c>
      <c r="F11" s="118">
        <v>-9.1999999999999993</v>
      </c>
      <c r="G11" s="83">
        <v>453.96600000000001</v>
      </c>
      <c r="H11" s="118">
        <v>-9.1999999999999993</v>
      </c>
      <c r="I11" s="83">
        <v>2702.0610000000001</v>
      </c>
      <c r="J11" s="118">
        <v>8.1</v>
      </c>
      <c r="K11" s="83" t="s">
        <v>292</v>
      </c>
      <c r="L11" s="122"/>
      <c r="M11" s="83">
        <v>9571.3760000000002</v>
      </c>
      <c r="N11" s="118">
        <v>-4.3</v>
      </c>
      <c r="O11" s="83">
        <v>19076.705999999998</v>
      </c>
      <c r="P11" s="118">
        <v>-4.5999999999999996</v>
      </c>
      <c r="Q11" s="83" t="s">
        <v>293</v>
      </c>
      <c r="R11" s="122"/>
    </row>
    <row r="12" spans="1:18">
      <c r="A12" s="190">
        <v>45785</v>
      </c>
      <c r="B12" s="192">
        <v>6</v>
      </c>
      <c r="C12" s="83">
        <v>56.222000000000001</v>
      </c>
      <c r="D12" s="118">
        <v>12.4</v>
      </c>
      <c r="E12" s="83">
        <v>106.905</v>
      </c>
      <c r="F12" s="118">
        <v>6.9</v>
      </c>
      <c r="G12" s="83">
        <v>488.697</v>
      </c>
      <c r="H12" s="118">
        <v>-2.2999999999999998</v>
      </c>
      <c r="I12" s="83">
        <v>2545.9560000000001</v>
      </c>
      <c r="J12" s="118">
        <v>1.8</v>
      </c>
      <c r="K12" s="83">
        <v>4965.6570000000002</v>
      </c>
      <c r="L12" s="118">
        <v>-0.7</v>
      </c>
      <c r="M12" s="83">
        <v>9907.4789999999994</v>
      </c>
      <c r="N12" s="118">
        <v>-0.9</v>
      </c>
      <c r="O12" s="83">
        <v>19806.785</v>
      </c>
      <c r="P12" s="118">
        <v>-1</v>
      </c>
      <c r="Q12" s="83">
        <v>24611.579000000002</v>
      </c>
      <c r="R12" s="118">
        <v>-1.6</v>
      </c>
    </row>
    <row r="13" spans="1:18">
      <c r="A13" s="191"/>
      <c r="B13" s="193"/>
      <c r="C13" s="83">
        <v>41.831000000000003</v>
      </c>
      <c r="D13" s="118">
        <v>-16.3</v>
      </c>
      <c r="E13" s="83" t="s">
        <v>294</v>
      </c>
      <c r="F13" s="122"/>
      <c r="G13" s="83">
        <v>520.69000000000005</v>
      </c>
      <c r="H13" s="118">
        <v>4.0999999999999996</v>
      </c>
      <c r="I13" s="83">
        <v>2808.7</v>
      </c>
      <c r="J13" s="118">
        <v>12.3</v>
      </c>
      <c r="K13" s="83">
        <v>5151.62</v>
      </c>
      <c r="L13" s="118">
        <v>3</v>
      </c>
      <c r="M13" s="83">
        <v>9868.2459999999992</v>
      </c>
      <c r="N13" s="118">
        <v>-1.3</v>
      </c>
      <c r="O13" s="83">
        <v>18487.330000000002</v>
      </c>
      <c r="P13" s="118">
        <v>-7.6</v>
      </c>
      <c r="Q13" s="83">
        <v>22726.305</v>
      </c>
      <c r="R13" s="118">
        <v>-9.1</v>
      </c>
    </row>
    <row r="14" spans="1:18">
      <c r="A14" s="190">
        <v>45792</v>
      </c>
      <c r="B14" s="192">
        <v>8</v>
      </c>
      <c r="C14" s="83">
        <v>48.731999999999999</v>
      </c>
      <c r="D14" s="118">
        <v>-2.5</v>
      </c>
      <c r="E14" s="83">
        <v>100.61</v>
      </c>
      <c r="F14" s="118">
        <v>0.6</v>
      </c>
      <c r="G14" s="83">
        <v>473.75299999999999</v>
      </c>
      <c r="H14" s="118">
        <v>-5.2</v>
      </c>
      <c r="I14" s="83">
        <v>2390.297</v>
      </c>
      <c r="J14" s="118">
        <v>-4.4000000000000004</v>
      </c>
      <c r="K14" s="83">
        <v>4912.8760000000002</v>
      </c>
      <c r="L14" s="118">
        <v>-1.7</v>
      </c>
      <c r="M14" s="83">
        <v>10116.896000000001</v>
      </c>
      <c r="N14" s="118">
        <v>1.2</v>
      </c>
      <c r="O14" s="83">
        <v>21063.135999999999</v>
      </c>
      <c r="P14" s="118">
        <v>5.3</v>
      </c>
      <c r="Q14" s="83">
        <v>25326.405999999999</v>
      </c>
      <c r="R14" s="118">
        <v>1.3</v>
      </c>
    </row>
    <row r="15" spans="1:18">
      <c r="A15" s="191"/>
      <c r="B15" s="193"/>
      <c r="C15" s="83">
        <v>52.008000000000003</v>
      </c>
      <c r="D15" s="118">
        <v>4</v>
      </c>
      <c r="E15" s="83">
        <v>98.644999999999996</v>
      </c>
      <c r="F15" s="118">
        <v>-1.4</v>
      </c>
      <c r="G15" s="83">
        <v>476.14100000000002</v>
      </c>
      <c r="H15" s="118">
        <v>-4.8</v>
      </c>
      <c r="I15" s="83">
        <v>2443.16</v>
      </c>
      <c r="J15" s="118">
        <v>-2.2999999999999998</v>
      </c>
      <c r="K15" s="83">
        <v>5004.277</v>
      </c>
      <c r="L15" s="118">
        <v>0.1</v>
      </c>
      <c r="M15" s="83">
        <v>10051.019</v>
      </c>
      <c r="N15" s="118">
        <v>0.5</v>
      </c>
      <c r="O15" s="83">
        <v>20930.911</v>
      </c>
      <c r="P15" s="118">
        <v>4.7</v>
      </c>
      <c r="Q15" s="83">
        <v>26162.644</v>
      </c>
      <c r="R15" s="118">
        <v>4.7</v>
      </c>
    </row>
    <row r="16" spans="1:18">
      <c r="A16" s="190">
        <v>45796</v>
      </c>
      <c r="B16" s="192">
        <v>9</v>
      </c>
      <c r="C16" s="83">
        <v>49.040999999999997</v>
      </c>
      <c r="D16" s="118">
        <v>-1.9</v>
      </c>
      <c r="E16" s="83">
        <v>97.298000000000002</v>
      </c>
      <c r="F16" s="118">
        <v>-2.7</v>
      </c>
      <c r="G16" s="83">
        <v>486.16199999999998</v>
      </c>
      <c r="H16" s="118">
        <v>-2.8</v>
      </c>
      <c r="I16" s="83">
        <v>2466.7159999999999</v>
      </c>
      <c r="J16" s="118">
        <v>-1.3</v>
      </c>
      <c r="K16" s="83">
        <v>5006.3040000000001</v>
      </c>
      <c r="L16" s="118">
        <v>0.1</v>
      </c>
      <c r="M16" s="83">
        <v>10540.598</v>
      </c>
      <c r="N16" s="118">
        <v>5.4</v>
      </c>
      <c r="O16" s="83">
        <v>20601.582999999999</v>
      </c>
      <c r="P16" s="118">
        <v>3</v>
      </c>
      <c r="Q16" s="83">
        <v>24918.813999999998</v>
      </c>
      <c r="R16" s="118">
        <v>-0.3</v>
      </c>
    </row>
    <row r="17" spans="1:18">
      <c r="A17" s="191"/>
      <c r="B17" s="193"/>
      <c r="C17" s="83">
        <v>52.731999999999999</v>
      </c>
      <c r="D17" s="118">
        <v>5.5</v>
      </c>
      <c r="E17" s="83">
        <v>97.817999999999998</v>
      </c>
      <c r="F17" s="118">
        <v>-2.2000000000000002</v>
      </c>
      <c r="G17" s="83">
        <v>461.536</v>
      </c>
      <c r="H17" s="118">
        <v>-7.7</v>
      </c>
      <c r="I17" s="83">
        <v>2400.9549999999999</v>
      </c>
      <c r="J17" s="118">
        <v>-4</v>
      </c>
      <c r="K17" s="83">
        <v>4858.2839999999997</v>
      </c>
      <c r="L17" s="118">
        <v>-2.8</v>
      </c>
      <c r="M17" s="83">
        <v>10549.168</v>
      </c>
      <c r="N17" s="118">
        <v>5.5</v>
      </c>
      <c r="O17" s="83">
        <v>20262.900000000001</v>
      </c>
      <c r="P17" s="118">
        <v>1.3</v>
      </c>
      <c r="Q17" s="83">
        <v>26225.925999999999</v>
      </c>
      <c r="R17" s="118">
        <v>4.9000000000000004</v>
      </c>
    </row>
    <row r="18" spans="1:18">
      <c r="A18" s="190">
        <v>45987</v>
      </c>
      <c r="B18" s="192">
        <v>12</v>
      </c>
      <c r="C18" s="83">
        <v>55.543999999999997</v>
      </c>
      <c r="D18" s="118">
        <v>11.1</v>
      </c>
      <c r="E18" s="83">
        <v>102.078</v>
      </c>
      <c r="F18" s="118">
        <v>2.1</v>
      </c>
      <c r="G18" s="83">
        <v>499.20400000000001</v>
      </c>
      <c r="H18" s="118">
        <v>-0.2</v>
      </c>
      <c r="I18" s="83">
        <v>2599.4110000000001</v>
      </c>
      <c r="J18" s="118">
        <v>4</v>
      </c>
      <c r="K18" s="83">
        <v>5193.6450000000004</v>
      </c>
      <c r="L18" s="118">
        <v>3.9</v>
      </c>
      <c r="M18" s="83">
        <v>10467.474</v>
      </c>
      <c r="N18" s="118">
        <v>4.7</v>
      </c>
      <c r="O18" s="83">
        <v>20133.804</v>
      </c>
      <c r="P18" s="118">
        <v>0.7</v>
      </c>
      <c r="Q18" s="83">
        <v>27083.373</v>
      </c>
      <c r="R18" s="118">
        <v>8.3000000000000007</v>
      </c>
    </row>
    <row r="19" spans="1:18">
      <c r="A19" s="191"/>
      <c r="B19" s="193"/>
      <c r="C19" s="83">
        <v>43.304000000000002</v>
      </c>
      <c r="D19" s="118">
        <v>-13.4</v>
      </c>
      <c r="E19" s="83">
        <v>103.663</v>
      </c>
      <c r="F19" s="118">
        <v>3.7</v>
      </c>
      <c r="G19" s="83">
        <v>474.65699999999998</v>
      </c>
      <c r="H19" s="118">
        <v>-5.0999999999999996</v>
      </c>
      <c r="I19" s="83">
        <v>2324.2759999999998</v>
      </c>
      <c r="J19" s="118">
        <v>-7</v>
      </c>
      <c r="K19" s="83">
        <v>4779.107</v>
      </c>
      <c r="L19" s="118">
        <v>-4.4000000000000004</v>
      </c>
      <c r="M19" s="83">
        <v>9994.9410000000007</v>
      </c>
      <c r="N19" s="118">
        <v>-0.1</v>
      </c>
      <c r="O19" s="83">
        <v>19410.186000000002</v>
      </c>
      <c r="P19" s="118">
        <v>-2.9</v>
      </c>
      <c r="Q19" s="83">
        <v>23677.887999999999</v>
      </c>
      <c r="R19" s="118">
        <v>-5.3</v>
      </c>
    </row>
    <row r="20" spans="1:18" ht="14.1" customHeight="1">
      <c r="A20" s="16" t="s">
        <v>58</v>
      </c>
      <c r="B20" s="199"/>
      <c r="C20" s="83">
        <v>50.23</v>
      </c>
      <c r="D20" s="196"/>
      <c r="E20" s="83">
        <v>99.44</v>
      </c>
      <c r="F20" s="196"/>
      <c r="G20" s="83">
        <v>489.06400000000002</v>
      </c>
      <c r="H20" s="196"/>
      <c r="I20" s="83">
        <v>2509.355</v>
      </c>
      <c r="J20" s="196"/>
      <c r="K20" s="83">
        <v>4982.3130000000001</v>
      </c>
      <c r="L20" s="196"/>
      <c r="M20" s="83">
        <v>10237.352000000001</v>
      </c>
      <c r="N20" s="196"/>
      <c r="O20" s="83">
        <v>20041.164000000001</v>
      </c>
      <c r="P20" s="196"/>
      <c r="Q20" s="83">
        <v>24894.101999999999</v>
      </c>
      <c r="R20" s="196"/>
    </row>
    <row r="21" spans="1:18" ht="14.1" customHeight="1">
      <c r="A21" s="16" t="s">
        <v>5</v>
      </c>
      <c r="B21" s="200"/>
      <c r="C21" s="83">
        <v>4.3120000000000003</v>
      </c>
      <c r="D21" s="197"/>
      <c r="E21" s="83">
        <v>6.11</v>
      </c>
      <c r="F21" s="197"/>
      <c r="G21" s="83">
        <v>25.231000000000002</v>
      </c>
      <c r="H21" s="197"/>
      <c r="I21" s="83">
        <v>141.25800000000001</v>
      </c>
      <c r="J21" s="197"/>
      <c r="K21" s="83">
        <v>138.60599999999999</v>
      </c>
      <c r="L21" s="197"/>
      <c r="M21" s="83">
        <v>457.42200000000003</v>
      </c>
      <c r="N21" s="197"/>
      <c r="O21" s="83">
        <v>750.50300000000004</v>
      </c>
      <c r="P21" s="197"/>
      <c r="Q21" s="83">
        <v>1355.519</v>
      </c>
      <c r="R21" s="197"/>
    </row>
    <row r="22" spans="1:18" ht="14.1" customHeight="1">
      <c r="A22" s="16" t="s">
        <v>102</v>
      </c>
      <c r="B22" s="200"/>
      <c r="C22" s="74">
        <v>8.6</v>
      </c>
      <c r="D22" s="197"/>
      <c r="E22" s="74">
        <v>6.1</v>
      </c>
      <c r="F22" s="197"/>
      <c r="G22" s="74">
        <v>5.2</v>
      </c>
      <c r="H22" s="197"/>
      <c r="I22" s="74">
        <v>5.6</v>
      </c>
      <c r="J22" s="197"/>
      <c r="K22" s="74">
        <v>2.8</v>
      </c>
      <c r="L22" s="197"/>
      <c r="M22" s="74">
        <v>4.5</v>
      </c>
      <c r="N22" s="197"/>
      <c r="O22" s="74">
        <v>3.7</v>
      </c>
      <c r="P22" s="197"/>
      <c r="Q22" s="74">
        <v>5.4</v>
      </c>
      <c r="R22" s="197"/>
    </row>
    <row r="23" spans="1:18" ht="14.1" customHeight="1">
      <c r="A23" s="16" t="s">
        <v>105</v>
      </c>
      <c r="B23" s="200"/>
      <c r="C23" s="74">
        <v>0.5</v>
      </c>
      <c r="D23" s="197"/>
      <c r="E23" s="74">
        <v>-0.6</v>
      </c>
      <c r="F23" s="197"/>
      <c r="G23" s="74">
        <v>-2.2000000000000002</v>
      </c>
      <c r="H23" s="197"/>
      <c r="I23" s="74">
        <v>0.4</v>
      </c>
      <c r="J23" s="197"/>
      <c r="K23" s="74">
        <v>-0.4</v>
      </c>
      <c r="L23" s="197"/>
      <c r="M23" s="74">
        <v>2.4</v>
      </c>
      <c r="N23" s="197"/>
      <c r="O23" s="74">
        <v>0.2</v>
      </c>
      <c r="P23" s="197"/>
      <c r="Q23" s="74">
        <v>-0.4</v>
      </c>
      <c r="R23" s="197"/>
    </row>
    <row r="24" spans="1:18" ht="14.1" customHeight="1">
      <c r="A24" s="16" t="s">
        <v>7</v>
      </c>
      <c r="B24" s="201"/>
      <c r="C24" s="16">
        <v>12</v>
      </c>
      <c r="D24" s="198"/>
      <c r="E24" s="16">
        <v>11</v>
      </c>
      <c r="F24" s="198"/>
      <c r="G24" s="16">
        <v>12</v>
      </c>
      <c r="H24" s="198"/>
      <c r="I24" s="16">
        <v>12</v>
      </c>
      <c r="J24" s="198"/>
      <c r="K24" s="16">
        <v>11</v>
      </c>
      <c r="L24" s="198"/>
      <c r="M24" s="16">
        <v>12</v>
      </c>
      <c r="N24" s="198"/>
      <c r="O24" s="16">
        <v>12</v>
      </c>
      <c r="P24" s="198"/>
      <c r="Q24" s="16">
        <v>11</v>
      </c>
      <c r="R24" s="198"/>
    </row>
    <row r="25" spans="1:18">
      <c r="A25" s="202" t="s">
        <v>315</v>
      </c>
      <c r="B25" s="202"/>
      <c r="C25" s="202"/>
      <c r="D25" s="202"/>
      <c r="E25" s="202"/>
      <c r="F25" s="202"/>
      <c r="G25" s="202"/>
      <c r="H25" s="202"/>
    </row>
    <row r="26" spans="1:18">
      <c r="A26" s="195"/>
      <c r="B26" s="195"/>
      <c r="C26" s="195"/>
      <c r="D26" s="195"/>
    </row>
    <row r="27" spans="1:18" s="68" customFormat="1">
      <c r="A27" s="188" t="s">
        <v>163</v>
      </c>
      <c r="B27" s="181"/>
      <c r="C27" s="181"/>
      <c r="D27" s="181"/>
      <c r="E27" s="181"/>
      <c r="F27" s="123"/>
      <c r="H27" s="123"/>
      <c r="J27" s="123"/>
      <c r="L27" s="123"/>
      <c r="N27" s="123"/>
      <c r="P27" s="123"/>
      <c r="R27" s="123"/>
    </row>
    <row r="28" spans="1:18" ht="14.1" customHeight="1">
      <c r="A28" s="189" t="s">
        <v>52</v>
      </c>
      <c r="B28" s="189" t="s">
        <v>57</v>
      </c>
      <c r="C28" s="16" t="s">
        <v>8</v>
      </c>
      <c r="D28" s="187" t="s">
        <v>105</v>
      </c>
      <c r="E28" s="16" t="s">
        <v>31</v>
      </c>
      <c r="F28" s="187" t="s">
        <v>105</v>
      </c>
      <c r="G28" s="16" t="s">
        <v>32</v>
      </c>
      <c r="H28" s="187" t="s">
        <v>105</v>
      </c>
      <c r="I28" s="16" t="s">
        <v>33</v>
      </c>
      <c r="J28" s="187" t="s">
        <v>105</v>
      </c>
      <c r="K28" s="16" t="s">
        <v>34</v>
      </c>
      <c r="L28" s="187" t="s">
        <v>97</v>
      </c>
      <c r="M28" s="16" t="s">
        <v>35</v>
      </c>
      <c r="N28" s="187" t="s">
        <v>97</v>
      </c>
      <c r="O28" s="16" t="s">
        <v>36</v>
      </c>
      <c r="P28" s="187" t="s">
        <v>97</v>
      </c>
      <c r="Q28" s="16" t="s">
        <v>38</v>
      </c>
      <c r="R28" s="187" t="s">
        <v>97</v>
      </c>
    </row>
    <row r="29" spans="1:18">
      <c r="A29" s="189"/>
      <c r="B29" s="189"/>
      <c r="C29" s="110">
        <v>50</v>
      </c>
      <c r="D29" s="187"/>
      <c r="E29" s="110">
        <v>100</v>
      </c>
      <c r="F29" s="187"/>
      <c r="G29" s="110">
        <v>500</v>
      </c>
      <c r="H29" s="187"/>
      <c r="I29" s="110">
        <v>2500</v>
      </c>
      <c r="J29" s="187"/>
      <c r="K29" s="110">
        <v>5000</v>
      </c>
      <c r="L29" s="187"/>
      <c r="M29" s="110">
        <v>10000</v>
      </c>
      <c r="N29" s="187"/>
      <c r="O29" s="110">
        <v>20000</v>
      </c>
      <c r="P29" s="187"/>
      <c r="Q29" s="110">
        <v>25000</v>
      </c>
      <c r="R29" s="187"/>
    </row>
    <row r="30" spans="1:18">
      <c r="A30" s="189"/>
      <c r="B30" s="189"/>
      <c r="C30" s="76" t="s">
        <v>37</v>
      </c>
      <c r="D30" s="187"/>
      <c r="E30" s="76" t="s">
        <v>37</v>
      </c>
      <c r="F30" s="187"/>
      <c r="G30" s="76" t="s">
        <v>37</v>
      </c>
      <c r="H30" s="187"/>
      <c r="I30" s="76" t="s">
        <v>37</v>
      </c>
      <c r="J30" s="187"/>
      <c r="K30" s="76" t="s">
        <v>37</v>
      </c>
      <c r="L30" s="187"/>
      <c r="M30" s="76" t="s">
        <v>37</v>
      </c>
      <c r="N30" s="187"/>
      <c r="O30" s="76" t="s">
        <v>37</v>
      </c>
      <c r="P30" s="187"/>
      <c r="Q30" s="76" t="s">
        <v>37</v>
      </c>
      <c r="R30" s="187"/>
    </row>
    <row r="31" spans="1:18">
      <c r="A31" s="190">
        <v>45774</v>
      </c>
      <c r="B31" s="192">
        <v>3</v>
      </c>
      <c r="C31" s="116">
        <v>59.345999999999997</v>
      </c>
      <c r="D31" s="119">
        <v>18.7</v>
      </c>
      <c r="E31" s="116" t="s">
        <v>296</v>
      </c>
      <c r="F31" s="122"/>
      <c r="G31" s="116" t="s">
        <v>297</v>
      </c>
      <c r="H31" s="122"/>
      <c r="I31" s="116" t="s">
        <v>298</v>
      </c>
      <c r="J31" s="122"/>
      <c r="K31" s="116" t="s">
        <v>299</v>
      </c>
      <c r="L31" s="122"/>
      <c r="M31" s="116" t="s">
        <v>300</v>
      </c>
      <c r="N31" s="122"/>
      <c r="O31" s="116" t="s">
        <v>301</v>
      </c>
      <c r="P31" s="122"/>
      <c r="Q31" s="116" t="s">
        <v>302</v>
      </c>
      <c r="R31" s="122"/>
    </row>
    <row r="32" spans="1:18">
      <c r="A32" s="191"/>
      <c r="B32" s="193"/>
      <c r="C32" s="116">
        <v>43.152000000000001</v>
      </c>
      <c r="D32" s="119">
        <v>-13.7</v>
      </c>
      <c r="E32" s="116">
        <v>90.512</v>
      </c>
      <c r="F32" s="119">
        <v>-9.5</v>
      </c>
      <c r="G32" s="116">
        <v>483.72899999999998</v>
      </c>
      <c r="H32" s="119">
        <v>-3.3</v>
      </c>
      <c r="I32" s="116">
        <v>2532.38</v>
      </c>
      <c r="J32" s="119">
        <v>1.3</v>
      </c>
      <c r="K32" s="116">
        <v>5150.0519999999997</v>
      </c>
      <c r="L32" s="119">
        <v>3</v>
      </c>
      <c r="M32" s="116">
        <v>10342.422</v>
      </c>
      <c r="N32" s="119">
        <v>3.4</v>
      </c>
      <c r="O32" s="116">
        <v>20328.235000000001</v>
      </c>
      <c r="P32" s="119">
        <v>1.6</v>
      </c>
      <c r="Q32" s="116">
        <v>24596.258999999998</v>
      </c>
      <c r="R32" s="119">
        <v>-1.6</v>
      </c>
    </row>
    <row r="33" spans="1:18">
      <c r="A33" s="190">
        <v>45776</v>
      </c>
      <c r="B33" s="192">
        <v>4</v>
      </c>
      <c r="C33" s="116">
        <v>56.113999999999997</v>
      </c>
      <c r="D33" s="119">
        <v>12.2</v>
      </c>
      <c r="E33" s="116">
        <v>101.44499999999999</v>
      </c>
      <c r="F33" s="119">
        <v>1.4</v>
      </c>
      <c r="G33" s="116">
        <v>511.47</v>
      </c>
      <c r="H33" s="119">
        <v>2.2999999999999998</v>
      </c>
      <c r="I33" s="116">
        <v>2527.3220000000001</v>
      </c>
      <c r="J33" s="119">
        <v>1.1000000000000001</v>
      </c>
      <c r="K33" s="116">
        <v>5014.6099999999997</v>
      </c>
      <c r="L33" s="119">
        <v>0.3</v>
      </c>
      <c r="M33" s="116">
        <v>10465.556</v>
      </c>
      <c r="N33" s="119">
        <v>4.7</v>
      </c>
      <c r="O33" s="116">
        <v>20319.184000000001</v>
      </c>
      <c r="P33" s="119">
        <v>1.6</v>
      </c>
      <c r="Q33" s="116">
        <v>25115.681</v>
      </c>
      <c r="R33" s="119">
        <v>0.5</v>
      </c>
    </row>
    <row r="34" spans="1:18">
      <c r="A34" s="191"/>
      <c r="B34" s="193"/>
      <c r="C34" s="116">
        <v>43.395000000000003</v>
      </c>
      <c r="D34" s="119">
        <v>-13.2</v>
      </c>
      <c r="E34" s="116" t="s">
        <v>303</v>
      </c>
      <c r="F34" s="122"/>
      <c r="G34" s="116" t="s">
        <v>304</v>
      </c>
      <c r="H34" s="122"/>
      <c r="I34" s="116" t="s">
        <v>305</v>
      </c>
      <c r="J34" s="122"/>
      <c r="K34" s="116" t="s">
        <v>306</v>
      </c>
      <c r="L34" s="122"/>
      <c r="M34" s="116" t="s">
        <v>307</v>
      </c>
      <c r="N34" s="122"/>
      <c r="O34" s="116" t="s">
        <v>308</v>
      </c>
      <c r="P34" s="122"/>
      <c r="Q34" s="116">
        <v>22286.205000000002</v>
      </c>
      <c r="R34" s="119">
        <v>-10.9</v>
      </c>
    </row>
    <row r="35" spans="1:18">
      <c r="A35" s="190">
        <v>45786</v>
      </c>
      <c r="B35" s="192">
        <v>7</v>
      </c>
      <c r="C35" s="83">
        <v>48.777999999999999</v>
      </c>
      <c r="D35" s="118">
        <v>-2.4</v>
      </c>
      <c r="E35" s="83" t="s">
        <v>309</v>
      </c>
      <c r="F35" s="122"/>
      <c r="G35" s="83">
        <v>549.49800000000005</v>
      </c>
      <c r="H35" s="118">
        <v>9.9</v>
      </c>
      <c r="I35" s="83">
        <v>2759.0239999999999</v>
      </c>
      <c r="J35" s="118">
        <v>10.4</v>
      </c>
      <c r="K35" s="83">
        <v>5531.2089999999998</v>
      </c>
      <c r="L35" s="118">
        <v>10.6</v>
      </c>
      <c r="M35" s="83">
        <v>9452.6910000000007</v>
      </c>
      <c r="N35" s="118">
        <v>-5.5</v>
      </c>
      <c r="O35" s="83">
        <v>18767.399000000001</v>
      </c>
      <c r="P35" s="118">
        <v>-6.2</v>
      </c>
      <c r="Q35" s="83">
        <v>22913.376</v>
      </c>
      <c r="R35" s="118">
        <v>-8.3000000000000007</v>
      </c>
    </row>
    <row r="36" spans="1:18">
      <c r="A36" s="191"/>
      <c r="B36" s="193"/>
      <c r="C36" s="83">
        <v>51.04</v>
      </c>
      <c r="D36" s="118">
        <v>2.1</v>
      </c>
      <c r="E36" s="83" t="s">
        <v>310</v>
      </c>
      <c r="F36" s="122"/>
      <c r="G36" s="83">
        <v>449.32499999999999</v>
      </c>
      <c r="H36" s="118">
        <v>-10.1</v>
      </c>
      <c r="I36" s="83">
        <v>2737.683</v>
      </c>
      <c r="J36" s="118">
        <v>9.5</v>
      </c>
      <c r="K36" s="83">
        <v>4643.8100000000004</v>
      </c>
      <c r="L36" s="118">
        <v>-7.1</v>
      </c>
      <c r="M36" s="83">
        <v>10628.424999999999</v>
      </c>
      <c r="N36" s="118">
        <v>6.3</v>
      </c>
      <c r="O36" s="83">
        <v>20738.785</v>
      </c>
      <c r="P36" s="118">
        <v>3.7</v>
      </c>
      <c r="Q36" s="83">
        <v>21808.903999999999</v>
      </c>
      <c r="R36" s="118">
        <v>-12.8</v>
      </c>
    </row>
    <row r="37" spans="1:18">
      <c r="A37" s="190">
        <v>45980</v>
      </c>
      <c r="B37" s="192">
        <v>11</v>
      </c>
      <c r="C37" s="83">
        <v>48.332000000000001</v>
      </c>
      <c r="D37" s="118">
        <v>-3.3</v>
      </c>
      <c r="E37" s="83" t="s">
        <v>311</v>
      </c>
      <c r="F37" s="122"/>
      <c r="G37" s="83" t="s">
        <v>314</v>
      </c>
      <c r="H37" s="122"/>
      <c r="I37" s="83">
        <v>2551.9720000000002</v>
      </c>
      <c r="J37" s="118">
        <v>2.1</v>
      </c>
      <c r="K37" s="83">
        <v>5458.018</v>
      </c>
      <c r="L37" s="118">
        <v>9.1999999999999993</v>
      </c>
      <c r="M37" s="83">
        <v>10404.339</v>
      </c>
      <c r="N37" s="118">
        <v>4</v>
      </c>
      <c r="O37" s="83">
        <v>17004.441999999999</v>
      </c>
      <c r="P37" s="118">
        <v>-15</v>
      </c>
      <c r="Q37" s="83">
        <v>23129.618999999999</v>
      </c>
      <c r="R37" s="118">
        <v>-7.5</v>
      </c>
    </row>
    <row r="38" spans="1:18">
      <c r="A38" s="191"/>
      <c r="B38" s="193"/>
      <c r="C38" s="83">
        <v>51.603999999999999</v>
      </c>
      <c r="D38" s="118">
        <v>3.2</v>
      </c>
      <c r="E38" s="83" t="s">
        <v>312</v>
      </c>
      <c r="F38" s="122"/>
      <c r="G38" s="83" t="s">
        <v>313</v>
      </c>
      <c r="H38" s="122"/>
      <c r="I38" s="83">
        <v>2574.0590000000002</v>
      </c>
      <c r="J38" s="118">
        <v>3</v>
      </c>
      <c r="K38" s="83">
        <v>4669.0600000000004</v>
      </c>
      <c r="L38" s="118">
        <v>-6.6</v>
      </c>
      <c r="M38" s="83">
        <v>10376.691000000001</v>
      </c>
      <c r="N38" s="118">
        <v>3.8</v>
      </c>
      <c r="O38" s="83">
        <v>20644.661</v>
      </c>
      <c r="P38" s="118">
        <v>3.2</v>
      </c>
      <c r="Q38" s="83">
        <v>25992.953000000001</v>
      </c>
      <c r="R38" s="118">
        <v>4</v>
      </c>
    </row>
    <row r="39" spans="1:18" ht="14.1" customHeight="1">
      <c r="A39" s="16" t="s">
        <v>58</v>
      </c>
      <c r="B39" s="199"/>
      <c r="C39" s="83">
        <v>50.22</v>
      </c>
      <c r="D39" s="196"/>
      <c r="E39" s="83">
        <v>95.978999999999999</v>
      </c>
      <c r="F39" s="196"/>
      <c r="G39" s="83">
        <v>498.50599999999997</v>
      </c>
      <c r="H39" s="196"/>
      <c r="I39" s="83">
        <v>2613.7399999999998</v>
      </c>
      <c r="J39" s="196"/>
      <c r="K39" s="83">
        <v>5077.7929999999997</v>
      </c>
      <c r="L39" s="196"/>
      <c r="M39" s="83">
        <v>10278.353999999999</v>
      </c>
      <c r="N39" s="196"/>
      <c r="O39" s="83">
        <v>19633.784</v>
      </c>
      <c r="P39" s="196"/>
      <c r="Q39" s="83">
        <v>23691.857</v>
      </c>
      <c r="R39" s="196"/>
    </row>
    <row r="40" spans="1:18" ht="14.1" customHeight="1">
      <c r="A40" s="16" t="s">
        <v>5</v>
      </c>
      <c r="B40" s="200"/>
      <c r="C40" s="83">
        <v>5.6420000000000003</v>
      </c>
      <c r="D40" s="197"/>
      <c r="E40" s="133"/>
      <c r="F40" s="197"/>
      <c r="G40" s="83">
        <v>42.448</v>
      </c>
      <c r="H40" s="197"/>
      <c r="I40" s="83">
        <v>105.78</v>
      </c>
      <c r="J40" s="197"/>
      <c r="K40" s="83">
        <v>378.09399999999999</v>
      </c>
      <c r="L40" s="197"/>
      <c r="M40" s="83">
        <v>416.88400000000001</v>
      </c>
      <c r="N40" s="197"/>
      <c r="O40" s="83">
        <v>1473.703</v>
      </c>
      <c r="P40" s="197"/>
      <c r="Q40" s="83">
        <v>1559.047</v>
      </c>
      <c r="R40" s="197"/>
    </row>
    <row r="41" spans="1:18" ht="14.1" customHeight="1">
      <c r="A41" s="16" t="s">
        <v>102</v>
      </c>
      <c r="B41" s="200"/>
      <c r="C41" s="74">
        <v>11.2</v>
      </c>
      <c r="D41" s="197"/>
      <c r="E41" s="134"/>
      <c r="F41" s="197"/>
      <c r="G41" s="74">
        <v>8.5</v>
      </c>
      <c r="H41" s="197"/>
      <c r="I41" s="74">
        <v>4</v>
      </c>
      <c r="J41" s="197"/>
      <c r="K41" s="74">
        <v>7.4</v>
      </c>
      <c r="L41" s="197"/>
      <c r="M41" s="74">
        <v>4.0999999999999996</v>
      </c>
      <c r="N41" s="197"/>
      <c r="O41" s="74">
        <v>7.5</v>
      </c>
      <c r="P41" s="197"/>
      <c r="Q41" s="74">
        <v>6.6</v>
      </c>
      <c r="R41" s="197"/>
    </row>
    <row r="42" spans="1:18" ht="14.1" customHeight="1">
      <c r="A42" s="16" t="s">
        <v>105</v>
      </c>
      <c r="B42" s="200"/>
      <c r="C42" s="74">
        <v>0.4</v>
      </c>
      <c r="D42" s="197"/>
      <c r="E42" s="74">
        <v>-4</v>
      </c>
      <c r="F42" s="197"/>
      <c r="G42" s="74">
        <v>-0.3</v>
      </c>
      <c r="H42" s="197"/>
      <c r="I42" s="74">
        <v>4.5</v>
      </c>
      <c r="J42" s="197"/>
      <c r="K42" s="74">
        <v>1.6</v>
      </c>
      <c r="L42" s="197"/>
      <c r="M42" s="74">
        <v>2.8</v>
      </c>
      <c r="N42" s="197"/>
      <c r="O42" s="74">
        <v>-1.8</v>
      </c>
      <c r="P42" s="197"/>
      <c r="Q42" s="74">
        <v>-5.2</v>
      </c>
      <c r="R42" s="197"/>
    </row>
    <row r="43" spans="1:18" ht="14.1" customHeight="1">
      <c r="A43" s="16" t="s">
        <v>7</v>
      </c>
      <c r="B43" s="201"/>
      <c r="C43" s="16">
        <v>8</v>
      </c>
      <c r="D43" s="198"/>
      <c r="E43" s="16">
        <v>2</v>
      </c>
      <c r="F43" s="198"/>
      <c r="G43" s="16">
        <v>4</v>
      </c>
      <c r="H43" s="198"/>
      <c r="I43" s="16">
        <v>6</v>
      </c>
      <c r="J43" s="198"/>
      <c r="K43" s="16">
        <v>6</v>
      </c>
      <c r="L43" s="198"/>
      <c r="M43" s="16">
        <v>6</v>
      </c>
      <c r="N43" s="198"/>
      <c r="O43" s="16">
        <v>6</v>
      </c>
      <c r="P43" s="198"/>
      <c r="Q43" s="16">
        <v>7</v>
      </c>
      <c r="R43" s="198"/>
    </row>
    <row r="44" spans="1:18" ht="14.1" customHeight="1">
      <c r="A44" s="202" t="s">
        <v>295</v>
      </c>
      <c r="B44" s="202"/>
      <c r="C44" s="202"/>
      <c r="D44" s="202"/>
      <c r="E44" s="202"/>
      <c r="F44" s="202"/>
      <c r="G44" s="202"/>
      <c r="H44" s="202"/>
      <c r="I44" s="111"/>
      <c r="J44" s="124"/>
      <c r="K44" s="111"/>
      <c r="L44" s="124"/>
      <c r="M44" s="111"/>
      <c r="N44" s="124"/>
      <c r="O44" s="111"/>
      <c r="P44" s="124"/>
      <c r="Q44" s="111"/>
      <c r="R44" s="124"/>
    </row>
    <row r="45" spans="1:18" s="2" customFormat="1">
      <c r="A45" s="67" t="s">
        <v>167</v>
      </c>
      <c r="D45" s="120"/>
      <c r="F45" s="120"/>
      <c r="H45" s="120"/>
      <c r="J45" s="120"/>
      <c r="L45" s="120"/>
      <c r="N45" s="120"/>
      <c r="P45" s="120"/>
      <c r="R45" s="120"/>
    </row>
    <row r="62" spans="2:2">
      <c r="B62" s="68"/>
    </row>
    <row r="63" spans="2:2">
      <c r="B63" s="68"/>
    </row>
  </sheetData>
  <mergeCells count="64">
    <mergeCell ref="N20:N24"/>
    <mergeCell ref="P20:P24"/>
    <mergeCell ref="R20:R24"/>
    <mergeCell ref="A25:H25"/>
    <mergeCell ref="A44:H44"/>
    <mergeCell ref="A31:A32"/>
    <mergeCell ref="B31:B32"/>
    <mergeCell ref="A33:A34"/>
    <mergeCell ref="B33:B34"/>
    <mergeCell ref="A35:A36"/>
    <mergeCell ref="B35:B36"/>
    <mergeCell ref="A37:A38"/>
    <mergeCell ref="B37:B38"/>
    <mergeCell ref="D20:D24"/>
    <mergeCell ref="F20:F24"/>
    <mergeCell ref="H20:H24"/>
    <mergeCell ref="J20:J24"/>
    <mergeCell ref="L20:L24"/>
    <mergeCell ref="A16:A17"/>
    <mergeCell ref="B16:B17"/>
    <mergeCell ref="A18:A19"/>
    <mergeCell ref="B18:B19"/>
    <mergeCell ref="B20:B24"/>
    <mergeCell ref="L39:L43"/>
    <mergeCell ref="N39:N43"/>
    <mergeCell ref="P39:P43"/>
    <mergeCell ref="R39:R43"/>
    <mergeCell ref="B39:B43"/>
    <mergeCell ref="D39:D43"/>
    <mergeCell ref="F39:F43"/>
    <mergeCell ref="H39:H43"/>
    <mergeCell ref="J39:J43"/>
    <mergeCell ref="A2:E2"/>
    <mergeCell ref="A4:E4"/>
    <mergeCell ref="A5:A7"/>
    <mergeCell ref="B5:B7"/>
    <mergeCell ref="A26:D26"/>
    <mergeCell ref="D5:D7"/>
    <mergeCell ref="A12:A13"/>
    <mergeCell ref="B12:B13"/>
    <mergeCell ref="A14:A15"/>
    <mergeCell ref="B14:B15"/>
    <mergeCell ref="F5:F7"/>
    <mergeCell ref="H5:H7"/>
    <mergeCell ref="A8:A9"/>
    <mergeCell ref="B8:B9"/>
    <mergeCell ref="A10:A11"/>
    <mergeCell ref="B10:B11"/>
    <mergeCell ref="P5:P7"/>
    <mergeCell ref="J5:J7"/>
    <mergeCell ref="R5:R7"/>
    <mergeCell ref="L5:L7"/>
    <mergeCell ref="N5:N7"/>
    <mergeCell ref="A27:E27"/>
    <mergeCell ref="A28:A30"/>
    <mergeCell ref="B28:B30"/>
    <mergeCell ref="D28:D30"/>
    <mergeCell ref="F28:F30"/>
    <mergeCell ref="R28:R30"/>
    <mergeCell ref="H28:H30"/>
    <mergeCell ref="J28:J30"/>
    <mergeCell ref="L28:L30"/>
    <mergeCell ref="N28:N30"/>
    <mergeCell ref="P28:P30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2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2:J41"/>
  <sheetViews>
    <sheetView view="pageBreakPreview" zoomScale="80" zoomScaleNormal="100" zoomScaleSheetLayoutView="80" workbookViewId="0">
      <selection activeCell="O24" sqref="O24"/>
    </sheetView>
  </sheetViews>
  <sheetFormatPr defaultColWidth="8.875" defaultRowHeight="13.5"/>
  <cols>
    <col min="1" max="1" width="17.875" style="68" customWidth="1"/>
    <col min="2" max="3" width="10.875" style="68" customWidth="1"/>
    <col min="4" max="4" width="10.875" style="123" customWidth="1"/>
    <col min="5" max="5" width="10.875" style="68" customWidth="1"/>
    <col min="6" max="6" width="10.875" style="123" customWidth="1"/>
    <col min="7" max="7" width="10.875" style="68" customWidth="1"/>
    <col min="8" max="8" width="10.875" style="123" customWidth="1"/>
    <col min="9" max="9" width="10.875" style="68" customWidth="1"/>
    <col min="10" max="10" width="10.875" style="123" customWidth="1"/>
    <col min="11" max="11" width="10.875" style="68" customWidth="1"/>
    <col min="12" max="16384" width="8.875" style="68"/>
  </cols>
  <sheetData>
    <row r="2" spans="1:10" ht="15">
      <c r="A2" s="180" t="s">
        <v>91</v>
      </c>
      <c r="B2" s="180"/>
      <c r="C2" s="180"/>
      <c r="D2" s="180"/>
      <c r="E2" s="8"/>
      <c r="F2" s="139"/>
      <c r="G2" s="10"/>
      <c r="H2" s="131"/>
      <c r="I2" s="10"/>
      <c r="J2" s="131"/>
    </row>
    <row r="3" spans="1:10" ht="15">
      <c r="A3" s="8"/>
      <c r="B3" s="8"/>
      <c r="C3" s="8"/>
      <c r="D3" s="139"/>
      <c r="E3" s="8"/>
      <c r="F3" s="139"/>
      <c r="G3" s="10"/>
      <c r="H3" s="131"/>
      <c r="I3" s="10"/>
      <c r="J3" s="131"/>
    </row>
    <row r="4" spans="1:10" ht="15">
      <c r="A4" s="39" t="s">
        <v>165</v>
      </c>
      <c r="B4" s="10"/>
      <c r="C4" s="10"/>
      <c r="D4" s="131"/>
      <c r="E4" s="10"/>
      <c r="F4" s="131"/>
      <c r="G4" s="10"/>
      <c r="H4" s="131"/>
      <c r="I4" s="10"/>
      <c r="J4" s="131"/>
    </row>
    <row r="5" spans="1:10" ht="13.9" customHeight="1">
      <c r="A5" s="174" t="s">
        <v>49</v>
      </c>
      <c r="B5" s="174" t="s">
        <v>47</v>
      </c>
      <c r="C5" s="69" t="s">
        <v>4</v>
      </c>
      <c r="D5" s="212" t="s">
        <v>105</v>
      </c>
      <c r="E5" s="69" t="s">
        <v>214</v>
      </c>
      <c r="F5" s="212" t="s">
        <v>105</v>
      </c>
      <c r="G5" s="69" t="s">
        <v>215</v>
      </c>
      <c r="H5" s="212" t="s">
        <v>105</v>
      </c>
      <c r="I5" s="69" t="s">
        <v>3</v>
      </c>
      <c r="J5" s="204" t="s">
        <v>105</v>
      </c>
    </row>
    <row r="6" spans="1:10">
      <c r="A6" s="174"/>
      <c r="B6" s="174"/>
      <c r="C6" s="70">
        <v>150</v>
      </c>
      <c r="D6" s="212"/>
      <c r="E6" s="70">
        <v>1125</v>
      </c>
      <c r="F6" s="212"/>
      <c r="G6" s="70">
        <v>7500</v>
      </c>
      <c r="H6" s="212"/>
      <c r="I6" s="70">
        <v>18750</v>
      </c>
      <c r="J6" s="205"/>
    </row>
    <row r="7" spans="1:10">
      <c r="A7" s="174"/>
      <c r="B7" s="174"/>
      <c r="C7" s="71" t="s">
        <v>37</v>
      </c>
      <c r="D7" s="212"/>
      <c r="E7" s="71" t="s">
        <v>37</v>
      </c>
      <c r="F7" s="212"/>
      <c r="G7" s="71" t="s">
        <v>37</v>
      </c>
      <c r="H7" s="212"/>
      <c r="I7" s="71" t="s">
        <v>37</v>
      </c>
      <c r="J7" s="206"/>
    </row>
    <row r="8" spans="1:10" s="82" customFormat="1">
      <c r="A8" s="207">
        <v>45796</v>
      </c>
      <c r="B8" s="208">
        <v>9</v>
      </c>
      <c r="C8" s="136">
        <v>145.464</v>
      </c>
      <c r="D8" s="140">
        <v>-3</v>
      </c>
      <c r="E8" s="136">
        <v>1070.809</v>
      </c>
      <c r="F8" s="140">
        <v>-4.8</v>
      </c>
      <c r="G8" s="136">
        <v>7318.68</v>
      </c>
      <c r="H8" s="140">
        <v>-2.4</v>
      </c>
      <c r="I8" s="136">
        <v>18874.218000000001</v>
      </c>
      <c r="J8" s="140">
        <v>0.7</v>
      </c>
    </row>
    <row r="9" spans="1:10" s="82" customFormat="1">
      <c r="A9" s="207"/>
      <c r="B9" s="208"/>
      <c r="C9" s="136">
        <v>145.49</v>
      </c>
      <c r="D9" s="140">
        <v>-3</v>
      </c>
      <c r="E9" s="136">
        <v>1041.1469999999999</v>
      </c>
      <c r="F9" s="140">
        <v>-7.5</v>
      </c>
      <c r="G9" s="136">
        <v>7359.0680000000002</v>
      </c>
      <c r="H9" s="140">
        <v>-1.9</v>
      </c>
      <c r="I9" s="136">
        <v>18993.297999999999</v>
      </c>
      <c r="J9" s="140">
        <v>1.3</v>
      </c>
    </row>
    <row r="10" spans="1:10" s="82" customFormat="1">
      <c r="A10" s="207"/>
      <c r="B10" s="208"/>
      <c r="C10" s="136">
        <v>147.40100000000001</v>
      </c>
      <c r="D10" s="141">
        <v>-1.7</v>
      </c>
      <c r="E10" s="137">
        <v>1040.335</v>
      </c>
      <c r="F10" s="141">
        <v>-7.5</v>
      </c>
      <c r="G10" s="136">
        <v>7747.7110000000002</v>
      </c>
      <c r="H10" s="141">
        <v>3.3</v>
      </c>
      <c r="I10" s="136">
        <v>19283.781999999999</v>
      </c>
      <c r="J10" s="141">
        <v>2.8</v>
      </c>
    </row>
    <row r="11" spans="1:10" s="82" customFormat="1">
      <c r="A11" s="207"/>
      <c r="B11" s="208"/>
      <c r="C11" s="136">
        <v>151.358</v>
      </c>
      <c r="D11" s="141">
        <v>0.9</v>
      </c>
      <c r="E11" s="137">
        <v>1032.1030000000001</v>
      </c>
      <c r="F11" s="141">
        <v>-8.3000000000000007</v>
      </c>
      <c r="G11" s="136">
        <v>7310.2129999999997</v>
      </c>
      <c r="H11" s="141">
        <v>-2.5</v>
      </c>
      <c r="I11" s="136">
        <v>19989.322</v>
      </c>
      <c r="J11" s="141">
        <v>6.6</v>
      </c>
    </row>
    <row r="12" spans="1:10" s="82" customFormat="1">
      <c r="A12" s="207"/>
      <c r="B12" s="208"/>
      <c r="C12" s="136">
        <v>140.10400000000001</v>
      </c>
      <c r="D12" s="141">
        <v>-6.6</v>
      </c>
      <c r="E12" s="137">
        <v>992.10400000000004</v>
      </c>
      <c r="F12" s="141">
        <v>-11.8</v>
      </c>
      <c r="G12" s="136">
        <v>7242.451</v>
      </c>
      <c r="H12" s="141">
        <v>-3.4</v>
      </c>
      <c r="I12" s="136">
        <v>20178.757000000001</v>
      </c>
      <c r="J12" s="141">
        <v>7.6</v>
      </c>
    </row>
    <row r="13" spans="1:10" s="82" customFormat="1">
      <c r="A13" s="207"/>
      <c r="B13" s="208"/>
      <c r="C13" s="136">
        <v>145.23699999999999</v>
      </c>
      <c r="D13" s="141">
        <v>-3.2</v>
      </c>
      <c r="E13" s="137">
        <v>1038.204</v>
      </c>
      <c r="F13" s="141">
        <v>-7.7</v>
      </c>
      <c r="G13" s="136">
        <v>7494.6779999999999</v>
      </c>
      <c r="H13" s="141">
        <v>-0.1</v>
      </c>
      <c r="I13" s="136">
        <v>18730.168000000001</v>
      </c>
      <c r="J13" s="141">
        <v>-0.1</v>
      </c>
    </row>
    <row r="14" spans="1:10" s="82" customFormat="1">
      <c r="A14" s="207">
        <v>45987</v>
      </c>
      <c r="B14" s="208">
        <v>12</v>
      </c>
      <c r="C14" s="136">
        <v>145.833</v>
      </c>
      <c r="D14" s="140">
        <v>-2.8</v>
      </c>
      <c r="E14" s="136">
        <v>1097.6379999999999</v>
      </c>
      <c r="F14" s="140">
        <v>-2.4</v>
      </c>
      <c r="G14" s="136">
        <v>7597.4219999999996</v>
      </c>
      <c r="H14" s="140">
        <v>1.3</v>
      </c>
      <c r="I14" s="136">
        <v>18913.871999999999</v>
      </c>
      <c r="J14" s="140">
        <v>0.9</v>
      </c>
    </row>
    <row r="15" spans="1:10" s="82" customFormat="1">
      <c r="A15" s="207"/>
      <c r="B15" s="208"/>
      <c r="C15" s="136">
        <v>154.245</v>
      </c>
      <c r="D15" s="140">
        <v>2.8</v>
      </c>
      <c r="E15" s="136">
        <v>1099.0519999999999</v>
      </c>
      <c r="F15" s="140">
        <v>-2.2999999999999998</v>
      </c>
      <c r="G15" s="136">
        <v>7272.7870000000003</v>
      </c>
      <c r="H15" s="140">
        <v>-3</v>
      </c>
      <c r="I15" s="136">
        <v>19429.881000000001</v>
      </c>
      <c r="J15" s="140">
        <v>3.6</v>
      </c>
    </row>
    <row r="16" spans="1:10" s="82" customFormat="1">
      <c r="A16" s="207"/>
      <c r="B16" s="208"/>
      <c r="C16" s="136">
        <v>146.852</v>
      </c>
      <c r="D16" s="141">
        <v>-2.1</v>
      </c>
      <c r="E16" s="137">
        <v>1093</v>
      </c>
      <c r="F16" s="141">
        <v>-2.8</v>
      </c>
      <c r="G16" s="136">
        <v>7502.7870000000003</v>
      </c>
      <c r="H16" s="141">
        <v>0</v>
      </c>
      <c r="I16" s="136">
        <v>19418.919999999998</v>
      </c>
      <c r="J16" s="141">
        <v>3.6</v>
      </c>
    </row>
    <row r="17" spans="1:10" s="82" customFormat="1">
      <c r="A17" s="207"/>
      <c r="B17" s="208"/>
      <c r="C17" s="136">
        <v>147.22300000000001</v>
      </c>
      <c r="D17" s="141">
        <v>-1.9</v>
      </c>
      <c r="E17" s="137">
        <v>1071.077</v>
      </c>
      <c r="F17" s="141">
        <v>-4.8</v>
      </c>
      <c r="G17" s="136">
        <v>7705.9340000000002</v>
      </c>
      <c r="H17" s="141">
        <v>2.7</v>
      </c>
      <c r="I17" s="136">
        <v>18100.3</v>
      </c>
      <c r="J17" s="141">
        <v>-3.5</v>
      </c>
    </row>
    <row r="18" spans="1:10" s="82" customFormat="1">
      <c r="A18" s="18" t="s">
        <v>216</v>
      </c>
      <c r="B18" s="209"/>
      <c r="C18" s="136">
        <v>146.92099999999999</v>
      </c>
      <c r="D18" s="203"/>
      <c r="E18" s="138">
        <v>1057.547</v>
      </c>
      <c r="F18" s="203"/>
      <c r="G18" s="136">
        <v>7455.1729999999998</v>
      </c>
      <c r="H18" s="203"/>
      <c r="I18" s="136">
        <v>19191.252</v>
      </c>
      <c r="J18" s="203"/>
    </row>
    <row r="19" spans="1:10" s="82" customFormat="1">
      <c r="A19" s="18" t="s">
        <v>5</v>
      </c>
      <c r="B19" s="210"/>
      <c r="C19" s="136">
        <v>3.7759999999999998</v>
      </c>
      <c r="D19" s="203"/>
      <c r="E19" s="138">
        <v>34.665999999999997</v>
      </c>
      <c r="F19" s="203"/>
      <c r="G19" s="136">
        <v>182.54900000000001</v>
      </c>
      <c r="H19" s="203"/>
      <c r="I19" s="136">
        <v>609.99400000000003</v>
      </c>
      <c r="J19" s="203"/>
    </row>
    <row r="20" spans="1:10" s="82" customFormat="1">
      <c r="A20" s="18" t="s">
        <v>102</v>
      </c>
      <c r="B20" s="210"/>
      <c r="C20" s="130">
        <v>2.6</v>
      </c>
      <c r="D20" s="203"/>
      <c r="E20" s="18">
        <v>3.3</v>
      </c>
      <c r="F20" s="203"/>
      <c r="G20" s="47">
        <v>2.4</v>
      </c>
      <c r="H20" s="203"/>
      <c r="I20" s="130">
        <v>3.2</v>
      </c>
      <c r="J20" s="203"/>
    </row>
    <row r="21" spans="1:10" s="82" customFormat="1">
      <c r="A21" s="18" t="s">
        <v>105</v>
      </c>
      <c r="B21" s="210"/>
      <c r="C21" s="47">
        <v>-2.1</v>
      </c>
      <c r="D21" s="203"/>
      <c r="E21" s="5">
        <v>-6</v>
      </c>
      <c r="F21" s="203"/>
      <c r="G21" s="47">
        <v>-0.6</v>
      </c>
      <c r="H21" s="203"/>
      <c r="I21" s="47">
        <v>2.4</v>
      </c>
      <c r="J21" s="203"/>
    </row>
    <row r="22" spans="1:10" s="82" customFormat="1">
      <c r="A22" s="18" t="s">
        <v>7</v>
      </c>
      <c r="B22" s="211"/>
      <c r="C22" s="47">
        <v>10</v>
      </c>
      <c r="D22" s="203"/>
      <c r="E22" s="18">
        <v>10</v>
      </c>
      <c r="F22" s="203"/>
      <c r="G22" s="47">
        <v>10</v>
      </c>
      <c r="H22" s="203"/>
      <c r="I22" s="47">
        <v>10</v>
      </c>
      <c r="J22" s="203"/>
    </row>
    <row r="23" spans="1:10" s="82" customFormat="1" ht="27" customHeight="1">
      <c r="A23" s="213" t="s">
        <v>353</v>
      </c>
      <c r="B23" s="214"/>
      <c r="C23" s="214"/>
      <c r="D23" s="214"/>
      <c r="E23" s="214"/>
      <c r="F23" s="214"/>
      <c r="G23" s="214"/>
      <c r="H23" s="214"/>
      <c r="I23" s="214"/>
      <c r="J23" s="214"/>
    </row>
    <row r="27" spans="1:10" ht="15">
      <c r="A27" s="135" t="s">
        <v>166</v>
      </c>
      <c r="B27" s="10"/>
      <c r="C27" s="10"/>
      <c r="D27" s="131"/>
      <c r="E27" s="10"/>
      <c r="F27" s="131"/>
      <c r="G27" s="10"/>
      <c r="H27" s="131"/>
    </row>
    <row r="28" spans="1:10" ht="13.5" customHeight="1">
      <c r="A28" s="215" t="s">
        <v>52</v>
      </c>
      <c r="B28" s="189" t="s">
        <v>57</v>
      </c>
      <c r="C28" s="69" t="s">
        <v>4</v>
      </c>
      <c r="D28" s="212" t="s">
        <v>105</v>
      </c>
      <c r="E28" s="69" t="s">
        <v>214</v>
      </c>
      <c r="F28" s="212" t="s">
        <v>105</v>
      </c>
      <c r="G28" s="69" t="s">
        <v>215</v>
      </c>
      <c r="H28" s="212" t="s">
        <v>105</v>
      </c>
      <c r="I28" s="69" t="s">
        <v>3</v>
      </c>
      <c r="J28" s="204" t="s">
        <v>105</v>
      </c>
    </row>
    <row r="29" spans="1:10">
      <c r="A29" s="215"/>
      <c r="B29" s="189"/>
      <c r="C29" s="70">
        <v>150</v>
      </c>
      <c r="D29" s="212"/>
      <c r="E29" s="70">
        <v>1125</v>
      </c>
      <c r="F29" s="212"/>
      <c r="G29" s="70">
        <v>7500</v>
      </c>
      <c r="H29" s="212"/>
      <c r="I29" s="70">
        <v>18750</v>
      </c>
      <c r="J29" s="205"/>
    </row>
    <row r="30" spans="1:10">
      <c r="A30" s="215"/>
      <c r="B30" s="189"/>
      <c r="C30" s="71" t="s">
        <v>37</v>
      </c>
      <c r="D30" s="212"/>
      <c r="E30" s="71" t="s">
        <v>37</v>
      </c>
      <c r="F30" s="212"/>
      <c r="G30" s="71" t="s">
        <v>37</v>
      </c>
      <c r="H30" s="212"/>
      <c r="I30" s="71" t="s">
        <v>37</v>
      </c>
      <c r="J30" s="206"/>
    </row>
    <row r="31" spans="1:10">
      <c r="A31" s="207">
        <v>45980</v>
      </c>
      <c r="B31" s="208">
        <v>11</v>
      </c>
      <c r="C31" s="136" t="s">
        <v>354</v>
      </c>
      <c r="D31" s="140">
        <v>-25.4</v>
      </c>
      <c r="E31" s="136">
        <v>1058.817</v>
      </c>
      <c r="F31" s="140">
        <v>-5.9</v>
      </c>
      <c r="G31" s="136" t="s">
        <v>360</v>
      </c>
      <c r="H31" s="140">
        <v>17.7</v>
      </c>
      <c r="I31" s="136">
        <v>17955.991999999998</v>
      </c>
      <c r="J31" s="140">
        <v>-4.2</v>
      </c>
    </row>
    <row r="32" spans="1:10">
      <c r="A32" s="207"/>
      <c r="B32" s="208"/>
      <c r="C32" s="136" t="s">
        <v>355</v>
      </c>
      <c r="D32" s="140">
        <v>-29</v>
      </c>
      <c r="E32" s="136" t="s">
        <v>358</v>
      </c>
      <c r="F32" s="140">
        <v>-28</v>
      </c>
      <c r="G32" s="136">
        <v>8284.0859999999993</v>
      </c>
      <c r="H32" s="140">
        <v>10.5</v>
      </c>
      <c r="I32" s="136">
        <v>19245.651000000002</v>
      </c>
      <c r="J32" s="140">
        <v>2.6</v>
      </c>
    </row>
    <row r="33" spans="1:10">
      <c r="A33" s="207"/>
      <c r="B33" s="208"/>
      <c r="C33" s="136" t="s">
        <v>356</v>
      </c>
      <c r="D33" s="141">
        <v>-24.3</v>
      </c>
      <c r="E33" s="137" t="s">
        <v>359</v>
      </c>
      <c r="F33" s="141">
        <v>-16.3</v>
      </c>
      <c r="G33" s="136">
        <v>8412.1139999999996</v>
      </c>
      <c r="H33" s="141">
        <v>12.2</v>
      </c>
      <c r="I33" s="136">
        <v>18058.346000000001</v>
      </c>
      <c r="J33" s="141">
        <v>-3.7</v>
      </c>
    </row>
    <row r="34" spans="1:10">
      <c r="A34" s="207"/>
      <c r="B34" s="208"/>
      <c r="C34" s="136" t="s">
        <v>357</v>
      </c>
      <c r="D34" s="141">
        <v>-27.4</v>
      </c>
      <c r="E34" s="137">
        <v>969.12699999999995</v>
      </c>
      <c r="F34" s="141">
        <v>-13.9</v>
      </c>
      <c r="G34" s="136">
        <v>8356.9159999999993</v>
      </c>
      <c r="H34" s="141">
        <v>11.4</v>
      </c>
      <c r="I34" s="136">
        <v>16912.378000000001</v>
      </c>
      <c r="J34" s="141">
        <v>-9.8000000000000007</v>
      </c>
    </row>
    <row r="35" spans="1:10">
      <c r="A35" s="18" t="s">
        <v>55</v>
      </c>
      <c r="B35" s="209"/>
      <c r="C35" s="136">
        <v>110.16800000000001</v>
      </c>
      <c r="D35" s="203"/>
      <c r="E35" s="138">
        <v>944.899</v>
      </c>
      <c r="F35" s="203"/>
      <c r="G35" s="136">
        <v>8470.24</v>
      </c>
      <c r="H35" s="203"/>
      <c r="I35" s="136">
        <v>18043.092000000001</v>
      </c>
      <c r="J35" s="203"/>
    </row>
    <row r="36" spans="1:10">
      <c r="A36" s="18" t="s">
        <v>5</v>
      </c>
      <c r="B36" s="210"/>
      <c r="C36" s="136">
        <v>3.1440000000000001</v>
      </c>
      <c r="D36" s="203"/>
      <c r="E36" s="138">
        <v>103.128</v>
      </c>
      <c r="F36" s="203"/>
      <c r="G36" s="136">
        <v>244.09899999999999</v>
      </c>
      <c r="H36" s="203"/>
      <c r="I36" s="136">
        <v>954.37300000000005</v>
      </c>
      <c r="J36" s="203"/>
    </row>
    <row r="37" spans="1:10">
      <c r="A37" s="18" t="s">
        <v>102</v>
      </c>
      <c r="B37" s="210"/>
      <c r="C37" s="130">
        <v>2.9</v>
      </c>
      <c r="D37" s="203"/>
      <c r="E37" s="18">
        <v>10.9</v>
      </c>
      <c r="F37" s="203"/>
      <c r="G37" s="47">
        <v>2.9</v>
      </c>
      <c r="H37" s="203"/>
      <c r="I37" s="130">
        <v>5.3</v>
      </c>
      <c r="J37" s="203"/>
    </row>
    <row r="38" spans="1:10">
      <c r="A38" s="18" t="s">
        <v>105</v>
      </c>
      <c r="B38" s="210"/>
      <c r="C38" s="47">
        <v>-26.6</v>
      </c>
      <c r="D38" s="203"/>
      <c r="E38" s="5">
        <v>-16</v>
      </c>
      <c r="F38" s="203"/>
      <c r="G38" s="47">
        <v>12.9</v>
      </c>
      <c r="H38" s="203"/>
      <c r="I38" s="47">
        <v>-3.8</v>
      </c>
      <c r="J38" s="203"/>
    </row>
    <row r="39" spans="1:10">
      <c r="A39" s="18" t="s">
        <v>7</v>
      </c>
      <c r="B39" s="211"/>
      <c r="C39" s="47">
        <v>4</v>
      </c>
      <c r="D39" s="203"/>
      <c r="E39" s="18">
        <v>4</v>
      </c>
      <c r="F39" s="203"/>
      <c r="G39" s="47">
        <v>4</v>
      </c>
      <c r="H39" s="203"/>
      <c r="I39" s="47">
        <v>4</v>
      </c>
      <c r="J39" s="203"/>
    </row>
    <row r="40" spans="1:10">
      <c r="A40" s="8" t="s">
        <v>352</v>
      </c>
    </row>
    <row r="41" spans="1:10">
      <c r="A41" s="132" t="s">
        <v>167</v>
      </c>
      <c r="B41" s="2"/>
      <c r="C41" s="2"/>
      <c r="D41" s="120"/>
      <c r="E41" s="2"/>
      <c r="F41" s="120"/>
      <c r="G41" s="2"/>
      <c r="H41" s="120"/>
    </row>
  </sheetData>
  <mergeCells count="30">
    <mergeCell ref="A23:J23"/>
    <mergeCell ref="A28:A30"/>
    <mergeCell ref="B28:B30"/>
    <mergeCell ref="F28:F30"/>
    <mergeCell ref="H28:H30"/>
    <mergeCell ref="D28:D30"/>
    <mergeCell ref="H5:H7"/>
    <mergeCell ref="J5:J7"/>
    <mergeCell ref="A8:A13"/>
    <mergeCell ref="B8:B13"/>
    <mergeCell ref="B18:B22"/>
    <mergeCell ref="D18:D22"/>
    <mergeCell ref="F18:F22"/>
    <mergeCell ref="H18:H22"/>
    <mergeCell ref="J18:J22"/>
    <mergeCell ref="B14:B17"/>
    <mergeCell ref="A14:A17"/>
    <mergeCell ref="A2:D2"/>
    <mergeCell ref="A5:A7"/>
    <mergeCell ref="B5:B7"/>
    <mergeCell ref="D5:D7"/>
    <mergeCell ref="F5:F7"/>
    <mergeCell ref="D35:D39"/>
    <mergeCell ref="F35:F39"/>
    <mergeCell ref="H35:H39"/>
    <mergeCell ref="J28:J30"/>
    <mergeCell ref="A31:A34"/>
    <mergeCell ref="B31:B34"/>
    <mergeCell ref="J35:J39"/>
    <mergeCell ref="B35:B39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73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F108-DE0D-4082-ACB0-8F23C44A0617}">
  <sheetPr>
    <tabColor rgb="FF92D050"/>
    <pageSetUpPr fitToPage="1"/>
  </sheetPr>
  <dimension ref="A2:I35"/>
  <sheetViews>
    <sheetView zoomScale="90" zoomScaleNormal="90" zoomScaleSheetLayoutView="100" workbookViewId="0">
      <selection activeCell="L14" sqref="L14"/>
    </sheetView>
  </sheetViews>
  <sheetFormatPr defaultColWidth="8.875" defaultRowHeight="13.5"/>
  <cols>
    <col min="1" max="1" width="14.625" style="6" customWidth="1"/>
    <col min="2" max="2" width="17.625" style="6" customWidth="1"/>
    <col min="3" max="3" width="17.375" style="6" customWidth="1"/>
    <col min="4" max="4" width="13.25" style="6" customWidth="1"/>
    <col min="5" max="5" width="15.5" style="6" customWidth="1"/>
    <col min="6" max="8" width="8.875" style="6"/>
    <col min="9" max="9" width="15.25" style="6" customWidth="1"/>
    <col min="10" max="16384" width="8.875" style="6"/>
  </cols>
  <sheetData>
    <row r="2" spans="1:9">
      <c r="A2" s="7" t="s">
        <v>227</v>
      </c>
      <c r="B2" s="7"/>
    </row>
    <row r="3" spans="1:9">
      <c r="A3" s="7"/>
      <c r="B3" s="7"/>
    </row>
    <row r="4" spans="1:9">
      <c r="A4" s="6" t="s">
        <v>172</v>
      </c>
      <c r="B4" s="7"/>
      <c r="H4" s="3" t="s">
        <v>228</v>
      </c>
      <c r="I4" s="142">
        <v>45978.745833333334</v>
      </c>
    </row>
    <row r="5" spans="1:9" ht="15" customHeight="1">
      <c r="A5" s="150" t="s">
        <v>266</v>
      </c>
      <c r="B5" s="220"/>
      <c r="C5" s="220"/>
      <c r="D5" s="220"/>
      <c r="E5" s="158"/>
      <c r="H5" s="3" t="s">
        <v>229</v>
      </c>
      <c r="I5" s="142">
        <v>45979.418749999997</v>
      </c>
    </row>
    <row r="6" spans="1:9" ht="15" customHeight="1">
      <c r="A6" s="221"/>
      <c r="B6" s="175" t="s">
        <v>230</v>
      </c>
      <c r="C6" s="177"/>
      <c r="D6" s="174" t="s">
        <v>231</v>
      </c>
      <c r="E6" s="174"/>
      <c r="H6" s="3" t="s">
        <v>115</v>
      </c>
      <c r="I6" s="84">
        <f>(I5-I4)*24</f>
        <v>16.149999999906868</v>
      </c>
    </row>
    <row r="7" spans="1:9" ht="15" customHeight="1">
      <c r="A7" s="222"/>
      <c r="B7" s="224" t="s">
        <v>213</v>
      </c>
      <c r="C7" s="177"/>
      <c r="D7" s="225" t="s">
        <v>213</v>
      </c>
      <c r="E7" s="174"/>
    </row>
    <row r="8" spans="1:9" ht="15" customHeight="1">
      <c r="A8" s="222"/>
      <c r="B8" s="175" t="s">
        <v>104</v>
      </c>
      <c r="C8" s="177"/>
      <c r="D8" s="174" t="s">
        <v>104</v>
      </c>
      <c r="E8" s="174"/>
    </row>
    <row r="9" spans="1:9" ht="15" customHeight="1">
      <c r="A9" s="222"/>
      <c r="B9" s="83">
        <v>2</v>
      </c>
      <c r="C9" s="16" t="s">
        <v>361</v>
      </c>
      <c r="D9" s="83">
        <v>2</v>
      </c>
      <c r="E9" s="16" t="s">
        <v>361</v>
      </c>
    </row>
    <row r="10" spans="1:9" ht="15" customHeight="1">
      <c r="A10" s="222"/>
      <c r="B10" s="175" t="s">
        <v>60</v>
      </c>
      <c r="C10" s="177"/>
      <c r="D10" s="174" t="s">
        <v>60</v>
      </c>
      <c r="E10" s="174"/>
    </row>
    <row r="11" spans="1:9" ht="15" customHeight="1">
      <c r="A11" s="223"/>
      <c r="B11" s="18" t="s">
        <v>83</v>
      </c>
      <c r="C11" s="18" t="s">
        <v>61</v>
      </c>
      <c r="D11" s="18" t="s">
        <v>83</v>
      </c>
      <c r="E11" s="18" t="s">
        <v>61</v>
      </c>
    </row>
    <row r="12" spans="1:9" ht="15" customHeight="1">
      <c r="A12" s="18">
        <v>1</v>
      </c>
      <c r="B12" s="91">
        <v>5.5457299999999998</v>
      </c>
      <c r="C12" s="18">
        <v>5.1846189999999996</v>
      </c>
      <c r="D12" s="18">
        <v>0.203039</v>
      </c>
      <c r="E12" s="18">
        <v>0.210844</v>
      </c>
    </row>
    <row r="13" spans="1:9" ht="15" customHeight="1">
      <c r="A13" s="18">
        <v>2</v>
      </c>
      <c r="B13" s="18">
        <v>5.377033</v>
      </c>
      <c r="C13" s="18">
        <v>5.1625139999999998</v>
      </c>
      <c r="D13" s="18">
        <v>0.19986699999999999</v>
      </c>
      <c r="E13" s="18">
        <v>0.20926400000000001</v>
      </c>
    </row>
    <row r="14" spans="1:9" ht="15" customHeight="1">
      <c r="A14" s="18">
        <v>3</v>
      </c>
      <c r="B14" s="18">
        <v>5.4704990000000002</v>
      </c>
      <c r="C14" s="18">
        <v>5.1413209999999996</v>
      </c>
      <c r="D14" s="18">
        <v>0.201074</v>
      </c>
      <c r="E14" s="18">
        <v>0.21046599999999999</v>
      </c>
    </row>
    <row r="15" spans="1:9" ht="15" customHeight="1">
      <c r="A15" s="18">
        <v>4</v>
      </c>
      <c r="B15" s="18">
        <v>5.4596470000000004</v>
      </c>
      <c r="C15" s="18">
        <v>5.1041090000000002</v>
      </c>
      <c r="D15" s="92">
        <v>0.19895599999999999</v>
      </c>
      <c r="E15" s="18">
        <v>0.21645900000000001</v>
      </c>
    </row>
    <row r="16" spans="1:9" ht="15" customHeight="1">
      <c r="A16" s="18">
        <v>5</v>
      </c>
      <c r="B16" s="18">
        <v>5.4271310000000001</v>
      </c>
      <c r="C16" s="92">
        <v>5.3884109999999996</v>
      </c>
      <c r="D16" s="18">
        <v>0.211118</v>
      </c>
      <c r="E16" s="18">
        <v>0.23916399999999999</v>
      </c>
    </row>
    <row r="17" spans="1:7" ht="15" customHeight="1">
      <c r="A17" s="18">
        <v>6</v>
      </c>
      <c r="B17" s="18">
        <v>5.4548560000000004</v>
      </c>
      <c r="C17" s="18">
        <v>5.2951240000000004</v>
      </c>
      <c r="D17" s="18">
        <v>0.20299500000000001</v>
      </c>
      <c r="E17" s="18">
        <v>0.213282</v>
      </c>
    </row>
    <row r="18" spans="1:7" ht="15" customHeight="1">
      <c r="A18" s="18" t="s">
        <v>51</v>
      </c>
      <c r="B18" s="50">
        <f>ROUND(AVERAGE(B12:B17),6)</f>
        <v>5.4558160000000004</v>
      </c>
      <c r="C18" s="50">
        <f>ROUND(AVERAGE(C12:C17),6)</f>
        <v>5.2126830000000002</v>
      </c>
      <c r="D18" s="50">
        <f>ROUND(AVERAGE(D12:D17),6)</f>
        <v>0.20284199999999999</v>
      </c>
      <c r="E18" s="50">
        <f>ROUND(AVERAGE(E12:E17),6)</f>
        <v>0.21657999999999999</v>
      </c>
    </row>
    <row r="19" spans="1:7" ht="15" customHeight="1">
      <c r="A19" s="18" t="s">
        <v>5</v>
      </c>
      <c r="B19" s="50">
        <f>ROUND(STDEV(B12:B17),6)</f>
        <v>5.5398999999999997E-2</v>
      </c>
      <c r="C19" s="50">
        <f>ROUND(STDEV(C12:C17),6)</f>
        <v>0.107575</v>
      </c>
      <c r="D19" s="50">
        <f>ROUND(STDEV(D12:D17),6)</f>
        <v>4.3730000000000002E-3</v>
      </c>
      <c r="E19" s="50">
        <f>ROUND(STDEV(E12:E17),6)</f>
        <v>1.1355000000000001E-2</v>
      </c>
    </row>
    <row r="20" spans="1:7" ht="15" customHeight="1">
      <c r="A20" s="18" t="s">
        <v>99</v>
      </c>
      <c r="B20" s="51">
        <f>ROUND(B19/B18*100,1)</f>
        <v>1</v>
      </c>
      <c r="C20" s="51">
        <f>ROUND(C19/C18*100,1)</f>
        <v>2.1</v>
      </c>
      <c r="D20" s="51">
        <f>ROUND(D19/D18*100,1)</f>
        <v>2.2000000000000002</v>
      </c>
      <c r="E20" s="51">
        <f>ROUND(E19/E18*100,1)</f>
        <v>5.2</v>
      </c>
    </row>
    <row r="21" spans="1:7">
      <c r="A21" s="52" t="s">
        <v>98</v>
      </c>
      <c r="B21" s="216">
        <f>ROUND((C18-B18)/B18*100,1)</f>
        <v>-4.5</v>
      </c>
      <c r="C21" s="217"/>
      <c r="D21" s="218">
        <f>ROUND((E18-D18)/D18*100,1)</f>
        <v>6.8</v>
      </c>
      <c r="E21" s="219"/>
    </row>
    <row r="22" spans="1:7">
      <c r="B22" s="53"/>
      <c r="C22" s="53"/>
    </row>
    <row r="23" spans="1:7" ht="26.25">
      <c r="B23" s="77" t="s">
        <v>232</v>
      </c>
      <c r="C23" s="16" t="s">
        <v>233</v>
      </c>
      <c r="D23" s="16" t="s">
        <v>234</v>
      </c>
      <c r="E23" s="78" t="s">
        <v>235</v>
      </c>
      <c r="G23" s="55"/>
    </row>
    <row r="24" spans="1:7">
      <c r="A24" s="2"/>
      <c r="B24" s="93" t="s">
        <v>274</v>
      </c>
      <c r="C24" s="94">
        <v>5273012</v>
      </c>
      <c r="D24" s="94">
        <v>1070625</v>
      </c>
      <c r="E24" s="95">
        <f>ROUND(D24/C24,6)</f>
        <v>0.203039</v>
      </c>
    </row>
    <row r="25" spans="1:7">
      <c r="A25" s="2"/>
      <c r="B25" s="96" t="s">
        <v>275</v>
      </c>
      <c r="C25" s="97">
        <v>5312706</v>
      </c>
      <c r="D25" s="97">
        <v>1061833</v>
      </c>
      <c r="E25" s="98">
        <f t="shared" ref="E25:E29" si="0">ROUND(D25/C25,6)</f>
        <v>0.19986699999999999</v>
      </c>
    </row>
    <row r="26" spans="1:7">
      <c r="A26" s="2"/>
      <c r="B26" s="96" t="s">
        <v>276</v>
      </c>
      <c r="C26" s="97">
        <v>5413378</v>
      </c>
      <c r="D26" s="97">
        <v>1088489</v>
      </c>
      <c r="E26" s="98">
        <f t="shared" si="0"/>
        <v>0.201074</v>
      </c>
    </row>
    <row r="27" spans="1:7">
      <c r="A27" s="2"/>
      <c r="B27" s="96" t="s">
        <v>277</v>
      </c>
      <c r="C27" s="97">
        <v>5601800</v>
      </c>
      <c r="D27" s="97">
        <v>1114513</v>
      </c>
      <c r="E27" s="98">
        <f t="shared" si="0"/>
        <v>0.19895599999999999</v>
      </c>
    </row>
    <row r="28" spans="1:7">
      <c r="A28" s="2"/>
      <c r="B28" s="96" t="s">
        <v>278</v>
      </c>
      <c r="C28" s="97">
        <v>5723126</v>
      </c>
      <c r="D28" s="97">
        <v>1208254</v>
      </c>
      <c r="E28" s="98">
        <f t="shared" si="0"/>
        <v>0.211118</v>
      </c>
    </row>
    <row r="29" spans="1:7">
      <c r="A29" s="2"/>
      <c r="B29" s="99" t="s">
        <v>279</v>
      </c>
      <c r="C29" s="100">
        <v>5818856</v>
      </c>
      <c r="D29" s="100">
        <v>1181199</v>
      </c>
      <c r="E29" s="101">
        <f t="shared" si="0"/>
        <v>0.20299500000000001</v>
      </c>
    </row>
    <row r="30" spans="1:7">
      <c r="A30" s="2"/>
      <c r="B30" s="93" t="s">
        <v>280</v>
      </c>
      <c r="C30" s="94">
        <v>7107522</v>
      </c>
      <c r="D30" s="94">
        <v>1498580</v>
      </c>
      <c r="E30" s="95">
        <f>ROUND(D30/C30,6)</f>
        <v>0.210844</v>
      </c>
    </row>
    <row r="31" spans="1:7">
      <c r="A31" s="2"/>
      <c r="B31" s="96" t="s">
        <v>281</v>
      </c>
      <c r="C31" s="97">
        <v>7206498</v>
      </c>
      <c r="D31" s="97">
        <v>1508063</v>
      </c>
      <c r="E31" s="98">
        <f t="shared" ref="E31:E35" si="1">ROUND(D31/C31,6)</f>
        <v>0.20926400000000001</v>
      </c>
    </row>
    <row r="32" spans="1:7">
      <c r="A32" s="2"/>
      <c r="B32" s="96" t="s">
        <v>282</v>
      </c>
      <c r="C32" s="97">
        <v>7211373</v>
      </c>
      <c r="D32" s="97">
        <v>1517748</v>
      </c>
      <c r="E32" s="98">
        <f t="shared" si="1"/>
        <v>0.21046599999999999</v>
      </c>
    </row>
    <row r="33" spans="1:5">
      <c r="A33" s="2"/>
      <c r="B33" s="96" t="s">
        <v>283</v>
      </c>
      <c r="C33" s="97">
        <v>7392777</v>
      </c>
      <c r="D33" s="97">
        <v>1600232</v>
      </c>
      <c r="E33" s="98">
        <f t="shared" si="1"/>
        <v>0.21645900000000001</v>
      </c>
    </row>
    <row r="34" spans="1:5">
      <c r="A34" s="2"/>
      <c r="B34" s="96" t="s">
        <v>284</v>
      </c>
      <c r="C34" s="97">
        <v>7615930</v>
      </c>
      <c r="D34" s="97">
        <v>1821455</v>
      </c>
      <c r="E34" s="98">
        <f t="shared" si="1"/>
        <v>0.23916399999999999</v>
      </c>
    </row>
    <row r="35" spans="1:5">
      <c r="A35" s="2"/>
      <c r="B35" s="99" t="s">
        <v>285</v>
      </c>
      <c r="C35" s="100">
        <v>7600599</v>
      </c>
      <c r="D35" s="100">
        <v>1621069</v>
      </c>
      <c r="E35" s="101">
        <f t="shared" si="1"/>
        <v>0.213282</v>
      </c>
    </row>
  </sheetData>
  <mergeCells count="12">
    <mergeCell ref="B21:C21"/>
    <mergeCell ref="D21:E21"/>
    <mergeCell ref="A5:E5"/>
    <mergeCell ref="A6:A11"/>
    <mergeCell ref="B6:C6"/>
    <mergeCell ref="D6:E6"/>
    <mergeCell ref="B7:C7"/>
    <mergeCell ref="D7:E7"/>
    <mergeCell ref="B8:C8"/>
    <mergeCell ref="D8:E8"/>
    <mergeCell ref="B10:C10"/>
    <mergeCell ref="D10:E10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55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AB93-644C-4B53-898F-F229CF9483A4}">
  <sheetPr>
    <tabColor rgb="FF92D050"/>
    <pageSetUpPr fitToPage="1"/>
  </sheetPr>
  <dimension ref="A2:J35"/>
  <sheetViews>
    <sheetView view="pageBreakPreview" zoomScaleNormal="100" zoomScaleSheetLayoutView="100" workbookViewId="0">
      <selection activeCell="J15" sqref="J15"/>
    </sheetView>
  </sheetViews>
  <sheetFormatPr defaultColWidth="8.875" defaultRowHeight="13.5"/>
  <cols>
    <col min="1" max="1" width="15.375" style="6" customWidth="1"/>
    <col min="2" max="2" width="12.5" style="6" customWidth="1"/>
    <col min="3" max="3" width="15.875" style="6" customWidth="1"/>
    <col min="4" max="4" width="12.875" style="6" customWidth="1"/>
    <col min="5" max="7" width="15.625" style="6" customWidth="1"/>
    <col min="8" max="8" width="8.875" style="6"/>
    <col min="9" max="9" width="13.125" style="6" customWidth="1"/>
    <col min="10" max="10" width="15.875" style="6" customWidth="1"/>
    <col min="11" max="16384" width="8.875" style="6"/>
  </cols>
  <sheetData>
    <row r="2" spans="1:10">
      <c r="A2" s="6" t="s">
        <v>90</v>
      </c>
    </row>
    <row r="4" spans="1:10">
      <c r="A4" s="6" t="s">
        <v>173</v>
      </c>
      <c r="I4" s="3" t="s">
        <v>119</v>
      </c>
      <c r="J4" s="143">
        <v>45978.739583333336</v>
      </c>
    </row>
    <row r="5" spans="1:10" s="4" customFormat="1" ht="15" customHeight="1">
      <c r="A5" s="163" t="s">
        <v>266</v>
      </c>
      <c r="B5" s="163"/>
      <c r="C5" s="163"/>
      <c r="D5" s="163"/>
      <c r="E5" s="163"/>
      <c r="F5" s="163"/>
      <c r="G5" s="163"/>
      <c r="I5" s="3" t="s">
        <v>120</v>
      </c>
      <c r="J5" s="143">
        <v>45979.418749999997</v>
      </c>
    </row>
    <row r="6" spans="1:10" s="4" customFormat="1" ht="15" customHeight="1">
      <c r="A6" s="226"/>
      <c r="B6" s="174" t="s">
        <v>2</v>
      </c>
      <c r="C6" s="174"/>
      <c r="D6" s="174" t="s">
        <v>6</v>
      </c>
      <c r="E6" s="174"/>
      <c r="F6" s="174" t="s">
        <v>239</v>
      </c>
      <c r="G6" s="174"/>
      <c r="I6" s="3" t="s">
        <v>115</v>
      </c>
      <c r="J6" s="49">
        <f>(J5-J4)*24</f>
        <v>16.299999999871943</v>
      </c>
    </row>
    <row r="7" spans="1:10" s="4" customFormat="1" ht="15" customHeight="1">
      <c r="A7" s="226"/>
      <c r="B7" s="224" t="s">
        <v>213</v>
      </c>
      <c r="C7" s="177"/>
      <c r="D7" s="225" t="s">
        <v>213</v>
      </c>
      <c r="E7" s="174"/>
      <c r="F7" s="225" t="s">
        <v>213</v>
      </c>
      <c r="G7" s="174"/>
    </row>
    <row r="8" spans="1:10" s="4" customFormat="1" ht="15" customHeight="1">
      <c r="A8" s="226"/>
      <c r="B8" s="174" t="s">
        <v>104</v>
      </c>
      <c r="C8" s="174"/>
      <c r="D8" s="174" t="s">
        <v>104</v>
      </c>
      <c r="E8" s="174"/>
      <c r="F8" s="174" t="s">
        <v>104</v>
      </c>
      <c r="G8" s="174"/>
      <c r="I8" s="6"/>
      <c r="J8" s="6"/>
    </row>
    <row r="9" spans="1:10" s="4" customFormat="1" ht="15" customHeight="1">
      <c r="A9" s="226"/>
      <c r="B9" s="138">
        <v>1</v>
      </c>
      <c r="C9" s="18" t="s">
        <v>362</v>
      </c>
      <c r="D9" s="138">
        <v>500</v>
      </c>
      <c r="E9" s="18" t="s">
        <v>362</v>
      </c>
      <c r="F9" s="138">
        <v>40000</v>
      </c>
      <c r="G9" s="18" t="s">
        <v>59</v>
      </c>
      <c r="I9" s="6"/>
      <c r="J9" s="6"/>
    </row>
    <row r="10" spans="1:10" s="4" customFormat="1" ht="15" customHeight="1">
      <c r="A10" s="226"/>
      <c r="B10" s="174" t="s">
        <v>60</v>
      </c>
      <c r="C10" s="174"/>
      <c r="D10" s="174" t="s">
        <v>60</v>
      </c>
      <c r="E10" s="174"/>
      <c r="F10" s="174" t="s">
        <v>60</v>
      </c>
      <c r="G10" s="174"/>
      <c r="I10" s="6"/>
      <c r="J10" s="6"/>
    </row>
    <row r="11" spans="1:10" s="4" customFormat="1" ht="15" customHeight="1">
      <c r="A11" s="226"/>
      <c r="B11" s="18" t="s">
        <v>83</v>
      </c>
      <c r="C11" s="18" t="s">
        <v>61</v>
      </c>
      <c r="D11" s="18" t="s">
        <v>83</v>
      </c>
      <c r="E11" s="18" t="s">
        <v>61</v>
      </c>
      <c r="F11" s="18" t="s">
        <v>83</v>
      </c>
      <c r="G11" s="18" t="s">
        <v>61</v>
      </c>
      <c r="I11" s="6"/>
      <c r="J11" s="6"/>
    </row>
    <row r="12" spans="1:10" s="4" customFormat="1" ht="15" customHeight="1">
      <c r="A12" s="16">
        <v>1</v>
      </c>
      <c r="B12" s="16">
        <v>0.204872</v>
      </c>
      <c r="C12" s="16">
        <v>0.19827800000000001</v>
      </c>
      <c r="D12" s="16">
        <v>4.9897210000000003</v>
      </c>
      <c r="E12" s="106">
        <v>5.1382539999999999</v>
      </c>
      <c r="F12" s="92">
        <v>0.18661700000000001</v>
      </c>
      <c r="G12" s="92">
        <v>0.18786600000000001</v>
      </c>
      <c r="I12" s="6"/>
      <c r="J12" s="6"/>
    </row>
    <row r="13" spans="1:10" s="4" customFormat="1" ht="15" customHeight="1">
      <c r="A13" s="16">
        <v>2</v>
      </c>
      <c r="B13" s="16">
        <v>0.20702200000000001</v>
      </c>
      <c r="C13" s="16">
        <v>0.20640700000000001</v>
      </c>
      <c r="D13" s="16">
        <v>4.9604879999999998</v>
      </c>
      <c r="E13" s="106">
        <v>5.2977920000000003</v>
      </c>
      <c r="F13" s="92">
        <v>0.19284299999999999</v>
      </c>
      <c r="G13" s="92">
        <v>0.18410899999999999</v>
      </c>
      <c r="I13" s="6"/>
      <c r="J13" s="6"/>
    </row>
    <row r="14" spans="1:10" s="4" customFormat="1" ht="15" customHeight="1">
      <c r="A14" s="16">
        <v>3</v>
      </c>
      <c r="B14" s="106">
        <v>0.20397999999999999</v>
      </c>
      <c r="C14" s="16">
        <v>0.20705599999999999</v>
      </c>
      <c r="D14" s="16">
        <v>5.025423</v>
      </c>
      <c r="E14" s="16">
        <v>5.4133279999999999</v>
      </c>
      <c r="F14" s="92">
        <v>0.18615999999999999</v>
      </c>
      <c r="G14" s="92">
        <v>0.20079900000000001</v>
      </c>
      <c r="I14" s="6"/>
      <c r="J14" s="6"/>
    </row>
    <row r="15" spans="1:10" s="4" customFormat="1" ht="15" customHeight="1">
      <c r="A15" s="16">
        <v>4</v>
      </c>
      <c r="B15" s="16">
        <v>0.209037</v>
      </c>
      <c r="C15" s="16">
        <v>0.20865700000000001</v>
      </c>
      <c r="D15" s="16">
        <v>4.9941779999999998</v>
      </c>
      <c r="E15" s="16">
        <v>5.4046380000000003</v>
      </c>
      <c r="F15" s="92">
        <v>0.193604</v>
      </c>
      <c r="G15" s="92">
        <v>0.19053100000000001</v>
      </c>
      <c r="I15" s="6"/>
      <c r="J15" s="6"/>
    </row>
    <row r="16" spans="1:10" s="4" customFormat="1" ht="15" customHeight="1">
      <c r="A16" s="16">
        <v>5</v>
      </c>
      <c r="B16" s="16">
        <v>0.207121</v>
      </c>
      <c r="C16" s="106">
        <v>0.20752999999999999</v>
      </c>
      <c r="D16" s="16">
        <v>5.0444250000000004</v>
      </c>
      <c r="E16" s="16">
        <v>5.2592140000000001</v>
      </c>
      <c r="F16" s="92">
        <v>0.190776</v>
      </c>
      <c r="G16" s="92">
        <v>0.19520599999999999</v>
      </c>
      <c r="I16" s="6"/>
      <c r="J16" s="6"/>
    </row>
    <row r="17" spans="1:10" s="4" customFormat="1" ht="15" customHeight="1">
      <c r="A17" s="16">
        <v>6</v>
      </c>
      <c r="B17" s="106">
        <v>0.20147399999999999</v>
      </c>
      <c r="C17" s="16">
        <v>0.208677</v>
      </c>
      <c r="D17" s="16">
        <v>5.0110720000000004</v>
      </c>
      <c r="E17" s="16">
        <v>5.3121029999999996</v>
      </c>
      <c r="F17" s="92">
        <v>0.184117</v>
      </c>
      <c r="G17" s="92">
        <v>0.193747</v>
      </c>
      <c r="I17" s="6"/>
      <c r="J17" s="6"/>
    </row>
    <row r="18" spans="1:10" s="4" customFormat="1" ht="15" customHeight="1">
      <c r="A18" s="16" t="s">
        <v>58</v>
      </c>
      <c r="B18" s="107">
        <f t="shared" ref="B18:G18" si="0">ROUND(AVERAGE(B12:B17),6)</f>
        <v>0.20558399999999999</v>
      </c>
      <c r="C18" s="107">
        <f t="shared" si="0"/>
        <v>0.20610100000000001</v>
      </c>
      <c r="D18" s="107">
        <f t="shared" si="0"/>
        <v>5.0042179999999998</v>
      </c>
      <c r="E18" s="107">
        <f t="shared" si="0"/>
        <v>5.3042220000000002</v>
      </c>
      <c r="F18" s="126">
        <f t="shared" si="0"/>
        <v>0.18901999999999999</v>
      </c>
      <c r="G18" s="126">
        <f t="shared" si="0"/>
        <v>0.19204299999999999</v>
      </c>
      <c r="I18" s="6"/>
      <c r="J18" s="6"/>
    </row>
    <row r="19" spans="1:10" s="4" customFormat="1" ht="15" customHeight="1">
      <c r="A19" s="16" t="s">
        <v>5</v>
      </c>
      <c r="B19" s="107">
        <f t="shared" ref="B19:G19" si="1">ROUND(STDEV(B12:B17),6)</f>
        <v>2.6949999999999999E-3</v>
      </c>
      <c r="C19" s="107">
        <f t="shared" si="1"/>
        <v>3.9350000000000001E-3</v>
      </c>
      <c r="D19" s="107">
        <f t="shared" si="1"/>
        <v>2.945E-2</v>
      </c>
      <c r="E19" s="107">
        <f t="shared" si="1"/>
        <v>0.101648</v>
      </c>
      <c r="F19" s="126">
        <f t="shared" si="1"/>
        <v>3.9170000000000003E-3</v>
      </c>
      <c r="G19" s="126">
        <f t="shared" si="1"/>
        <v>5.8700000000000002E-3</v>
      </c>
      <c r="I19" s="6"/>
      <c r="J19" s="6"/>
    </row>
    <row r="20" spans="1:10" s="4" customFormat="1" ht="15" customHeight="1">
      <c r="A20" s="16" t="s">
        <v>99</v>
      </c>
      <c r="B20" s="108">
        <f>ROUND(B19/B18*100,1)</f>
        <v>1.3</v>
      </c>
      <c r="C20" s="108">
        <f>ROUND(C19/C18*100,1)</f>
        <v>1.9</v>
      </c>
      <c r="D20" s="108">
        <f>ROUND(D19/D18*100,1)</f>
        <v>0.6</v>
      </c>
      <c r="E20" s="108">
        <f>ROUND(E19/E18*100,1)</f>
        <v>1.9</v>
      </c>
      <c r="F20" s="127">
        <f t="shared" ref="F20:G20" si="2">ROUND(F19/F18*100,1)</f>
        <v>2.1</v>
      </c>
      <c r="G20" s="127">
        <f t="shared" si="2"/>
        <v>3.1</v>
      </c>
      <c r="H20" s="6"/>
      <c r="I20" s="6"/>
      <c r="J20" s="6"/>
    </row>
    <row r="21" spans="1:10">
      <c r="A21" s="109" t="s">
        <v>98</v>
      </c>
      <c r="B21" s="228">
        <f>ROUND((C18-B18)/B18*100,1)</f>
        <v>0.3</v>
      </c>
      <c r="C21" s="228"/>
      <c r="D21" s="229">
        <f>ROUND((E18-D18)/D18*100,1)</f>
        <v>6</v>
      </c>
      <c r="E21" s="229"/>
      <c r="F21" s="227">
        <f>ROUND((G18-F18)/F18*100,1)</f>
        <v>1.6</v>
      </c>
      <c r="G21" s="227"/>
    </row>
    <row r="23" spans="1:10" ht="26.25">
      <c r="B23" s="77" t="s">
        <v>232</v>
      </c>
      <c r="C23" s="16" t="s">
        <v>233</v>
      </c>
      <c r="D23" s="16" t="s">
        <v>234</v>
      </c>
      <c r="E23" s="78" t="s">
        <v>235</v>
      </c>
      <c r="F23" s="111"/>
      <c r="G23" s="111"/>
      <c r="H23" s="4"/>
      <c r="I23" s="4"/>
      <c r="J23" s="4"/>
    </row>
    <row r="24" spans="1:10">
      <c r="B24" s="93" t="s">
        <v>320</v>
      </c>
      <c r="C24" s="144">
        <v>4201510</v>
      </c>
      <c r="D24" s="144">
        <v>784073</v>
      </c>
      <c r="E24" s="95">
        <f t="shared" ref="E24:E35" si="3">ROUND(D24/C24,6)</f>
        <v>0.18661700000000001</v>
      </c>
      <c r="F24" s="125"/>
      <c r="G24" s="125"/>
    </row>
    <row r="25" spans="1:10">
      <c r="B25" s="96" t="s">
        <v>321</v>
      </c>
      <c r="C25" s="145">
        <v>4188366</v>
      </c>
      <c r="D25" s="145">
        <v>807699</v>
      </c>
      <c r="E25" s="98">
        <f t="shared" si="3"/>
        <v>0.19284299999999999</v>
      </c>
      <c r="F25" s="125"/>
      <c r="G25" s="125"/>
    </row>
    <row r="26" spans="1:10">
      <c r="B26" s="96" t="s">
        <v>322</v>
      </c>
      <c r="C26" s="145">
        <v>4197542</v>
      </c>
      <c r="D26" s="145">
        <v>781413</v>
      </c>
      <c r="E26" s="98">
        <f t="shared" si="3"/>
        <v>0.18615999999999999</v>
      </c>
      <c r="F26" s="125"/>
      <c r="G26" s="125"/>
    </row>
    <row r="27" spans="1:10">
      <c r="B27" s="96" t="s">
        <v>323</v>
      </c>
      <c r="C27" s="145">
        <v>4158914</v>
      </c>
      <c r="D27" s="145">
        <v>805184</v>
      </c>
      <c r="E27" s="98">
        <f t="shared" si="3"/>
        <v>0.193604</v>
      </c>
      <c r="F27" s="125"/>
      <c r="G27" s="125"/>
    </row>
    <row r="28" spans="1:10">
      <c r="B28" s="96" t="s">
        <v>324</v>
      </c>
      <c r="C28" s="145">
        <v>4236929</v>
      </c>
      <c r="D28" s="145">
        <v>808304</v>
      </c>
      <c r="E28" s="98">
        <f t="shared" si="3"/>
        <v>0.190776</v>
      </c>
      <c r="F28" s="125"/>
      <c r="G28" s="125"/>
    </row>
    <row r="29" spans="1:10">
      <c r="B29" s="96" t="s">
        <v>325</v>
      </c>
      <c r="C29" s="145">
        <v>4339799</v>
      </c>
      <c r="D29" s="145">
        <v>799029</v>
      </c>
      <c r="E29" s="98">
        <f t="shared" si="3"/>
        <v>0.184117</v>
      </c>
      <c r="F29" s="125"/>
      <c r="G29" s="125"/>
    </row>
    <row r="30" spans="1:10">
      <c r="B30" s="96" t="s">
        <v>332</v>
      </c>
      <c r="C30" s="145">
        <v>4552576</v>
      </c>
      <c r="D30" s="145">
        <v>855272</v>
      </c>
      <c r="E30" s="98">
        <f t="shared" si="3"/>
        <v>0.18786600000000001</v>
      </c>
      <c r="F30" s="125"/>
      <c r="G30" s="125"/>
    </row>
    <row r="31" spans="1:10">
      <c r="B31" s="96" t="s">
        <v>333</v>
      </c>
      <c r="C31" s="145">
        <v>4521468</v>
      </c>
      <c r="D31" s="145">
        <v>832441</v>
      </c>
      <c r="E31" s="98">
        <f t="shared" si="3"/>
        <v>0.18410899999999999</v>
      </c>
      <c r="F31" s="125"/>
      <c r="G31" s="125"/>
    </row>
    <row r="32" spans="1:10">
      <c r="B32" s="96" t="s">
        <v>334</v>
      </c>
      <c r="C32" s="145">
        <v>4611672</v>
      </c>
      <c r="D32" s="145">
        <v>926020</v>
      </c>
      <c r="E32" s="98">
        <f t="shared" si="3"/>
        <v>0.20079900000000001</v>
      </c>
      <c r="F32" s="125"/>
      <c r="G32" s="125"/>
    </row>
    <row r="33" spans="2:7">
      <c r="B33" s="96" t="s">
        <v>335</v>
      </c>
      <c r="C33" s="145">
        <v>4684844</v>
      </c>
      <c r="D33" s="145">
        <v>892609</v>
      </c>
      <c r="E33" s="98">
        <f t="shared" si="3"/>
        <v>0.19053100000000001</v>
      </c>
      <c r="F33" s="125"/>
      <c r="G33" s="125"/>
    </row>
    <row r="34" spans="2:7">
      <c r="B34" s="96" t="s">
        <v>336</v>
      </c>
      <c r="C34" s="145">
        <v>4811348</v>
      </c>
      <c r="D34" s="145">
        <v>939202</v>
      </c>
      <c r="E34" s="98">
        <f t="shared" si="3"/>
        <v>0.19520599999999999</v>
      </c>
      <c r="F34" s="125"/>
      <c r="G34" s="125"/>
    </row>
    <row r="35" spans="2:7">
      <c r="B35" s="99" t="s">
        <v>337</v>
      </c>
      <c r="C35" s="146">
        <v>4937379</v>
      </c>
      <c r="D35" s="146">
        <v>956604</v>
      </c>
      <c r="E35" s="101">
        <f t="shared" si="3"/>
        <v>0.193747</v>
      </c>
      <c r="F35" s="125"/>
      <c r="G35" s="125"/>
    </row>
  </sheetData>
  <mergeCells count="17">
    <mergeCell ref="F21:G21"/>
    <mergeCell ref="F6:G6"/>
    <mergeCell ref="F7:G7"/>
    <mergeCell ref="B21:C21"/>
    <mergeCell ref="D21:E21"/>
    <mergeCell ref="F8:G8"/>
    <mergeCell ref="F10:G10"/>
    <mergeCell ref="A5:G5"/>
    <mergeCell ref="B10:C10"/>
    <mergeCell ref="D10:E10"/>
    <mergeCell ref="A6:A11"/>
    <mergeCell ref="B6:C6"/>
    <mergeCell ref="D6:E6"/>
    <mergeCell ref="B7:C7"/>
    <mergeCell ref="D7:E7"/>
    <mergeCell ref="B8:C8"/>
    <mergeCell ref="D8:E8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3EBE-0836-4B67-ABDF-2D08FB9688CC}">
  <sheetPr>
    <tabColor rgb="FF92D050"/>
    <pageSetUpPr fitToPage="1"/>
  </sheetPr>
  <dimension ref="A2:M36"/>
  <sheetViews>
    <sheetView zoomScaleNormal="100" zoomScaleSheetLayoutView="100" workbookViewId="0">
      <selection activeCell="J32" sqref="J32"/>
    </sheetView>
  </sheetViews>
  <sheetFormatPr defaultColWidth="8.875" defaultRowHeight="13.5"/>
  <cols>
    <col min="1" max="1" width="14.5" style="6" customWidth="1"/>
    <col min="2" max="2" width="18.125" style="6" customWidth="1"/>
    <col min="3" max="3" width="15.625" style="6" customWidth="1"/>
    <col min="4" max="4" width="15.25" style="6" customWidth="1"/>
    <col min="5" max="5" width="15.875" style="6" customWidth="1"/>
    <col min="6" max="10" width="8.875" style="6"/>
    <col min="11" max="11" width="8.875" style="54"/>
    <col min="12" max="12" width="15.5" style="55" customWidth="1"/>
    <col min="13" max="16384" width="8.875" style="6"/>
  </cols>
  <sheetData>
    <row r="2" spans="1:13">
      <c r="A2" s="173" t="s">
        <v>237</v>
      </c>
      <c r="B2" s="173"/>
    </row>
    <row r="3" spans="1:13">
      <c r="A3" s="7"/>
      <c r="B3" s="7"/>
    </row>
    <row r="4" spans="1:13">
      <c r="A4" s="6" t="s">
        <v>172</v>
      </c>
      <c r="I4" s="8"/>
      <c r="K4" s="3" t="s">
        <v>116</v>
      </c>
      <c r="L4" s="147">
        <v>45771</v>
      </c>
    </row>
    <row r="5" spans="1:13" s="4" customFormat="1" ht="15" customHeight="1">
      <c r="A5" s="150" t="s">
        <v>266</v>
      </c>
      <c r="B5" s="220"/>
      <c r="C5" s="220"/>
      <c r="D5" s="220"/>
      <c r="E5" s="158"/>
      <c r="I5" s="8"/>
      <c r="J5" s="6"/>
      <c r="K5" s="3" t="s">
        <v>238</v>
      </c>
      <c r="L5" s="147">
        <v>45979</v>
      </c>
      <c r="M5" s="6"/>
    </row>
    <row r="6" spans="1:13" s="4" customFormat="1" ht="15" customHeight="1">
      <c r="A6" s="230"/>
      <c r="B6" s="175" t="s">
        <v>230</v>
      </c>
      <c r="C6" s="177"/>
      <c r="D6" s="174" t="s">
        <v>239</v>
      </c>
      <c r="E6" s="174"/>
      <c r="I6" s="8"/>
      <c r="J6" s="6"/>
      <c r="K6" s="3" t="s">
        <v>240</v>
      </c>
      <c r="L6" s="56">
        <f>L5-L4</f>
        <v>208</v>
      </c>
      <c r="M6" s="6"/>
    </row>
    <row r="7" spans="1:13" s="4" customFormat="1" ht="15" customHeight="1">
      <c r="A7" s="222"/>
      <c r="B7" s="224" t="s">
        <v>267</v>
      </c>
      <c r="C7" s="177"/>
      <c r="D7" s="225" t="s">
        <v>267</v>
      </c>
      <c r="E7" s="174"/>
      <c r="K7" s="3"/>
      <c r="L7" s="57"/>
    </row>
    <row r="8" spans="1:13" s="4" customFormat="1" ht="15" customHeight="1">
      <c r="A8" s="222"/>
      <c r="B8" s="174" t="s">
        <v>104</v>
      </c>
      <c r="C8" s="174"/>
      <c r="D8" s="174" t="s">
        <v>104</v>
      </c>
      <c r="E8" s="174"/>
      <c r="K8" s="3"/>
      <c r="L8" s="57"/>
    </row>
    <row r="9" spans="1:13" s="4" customFormat="1" ht="15" customHeight="1">
      <c r="A9" s="222"/>
      <c r="B9" s="83">
        <v>2</v>
      </c>
      <c r="C9" s="16" t="s">
        <v>361</v>
      </c>
      <c r="D9" s="83">
        <v>2</v>
      </c>
      <c r="E9" s="16" t="s">
        <v>361</v>
      </c>
      <c r="K9" s="3"/>
      <c r="L9" s="57"/>
    </row>
    <row r="10" spans="1:13" s="4" customFormat="1" ht="15" customHeight="1">
      <c r="A10" s="222"/>
      <c r="B10" s="175" t="s">
        <v>60</v>
      </c>
      <c r="C10" s="177"/>
      <c r="D10" s="174" t="s">
        <v>60</v>
      </c>
      <c r="E10" s="174"/>
      <c r="K10" s="3"/>
      <c r="L10" s="57"/>
    </row>
    <row r="11" spans="1:13" s="4" customFormat="1" ht="15" customHeight="1">
      <c r="A11" s="223"/>
      <c r="B11" s="18" t="s">
        <v>83</v>
      </c>
      <c r="C11" s="18" t="s">
        <v>61</v>
      </c>
      <c r="D11" s="18" t="s">
        <v>83</v>
      </c>
      <c r="E11" s="18" t="s">
        <v>61</v>
      </c>
      <c r="I11" s="6"/>
      <c r="J11" s="6"/>
      <c r="K11" s="6"/>
      <c r="L11" s="57"/>
    </row>
    <row r="12" spans="1:13" s="4" customFormat="1" ht="15" customHeight="1">
      <c r="A12" s="18">
        <v>1</v>
      </c>
      <c r="B12" s="91">
        <v>5.5457299999999998</v>
      </c>
      <c r="C12" s="18">
        <v>5.2663710000000004</v>
      </c>
      <c r="D12" s="18">
        <v>0.203039</v>
      </c>
      <c r="E12" s="18">
        <v>0.21185799999999999</v>
      </c>
      <c r="I12" s="6"/>
      <c r="J12" s="6"/>
      <c r="K12" s="6"/>
      <c r="L12" s="57"/>
    </row>
    <row r="13" spans="1:13" s="4" customFormat="1" ht="15" customHeight="1">
      <c r="A13" s="18">
        <v>2</v>
      </c>
      <c r="B13" s="18">
        <v>5.377033</v>
      </c>
      <c r="C13" s="18">
        <v>5.3296510000000001</v>
      </c>
      <c r="D13" s="18">
        <v>0.19986699999999999</v>
      </c>
      <c r="E13" s="91">
        <v>0.21944</v>
      </c>
      <c r="I13" s="6"/>
      <c r="J13" s="6"/>
      <c r="K13" s="6"/>
      <c r="L13" s="57"/>
    </row>
    <row r="14" spans="1:13" s="4" customFormat="1" ht="15" customHeight="1">
      <c r="A14" s="18">
        <v>3</v>
      </c>
      <c r="B14" s="18">
        <v>5.4704990000000002</v>
      </c>
      <c r="C14" s="18">
        <v>5.4801070000000003</v>
      </c>
      <c r="D14" s="18">
        <v>0.201074</v>
      </c>
      <c r="E14" s="18">
        <v>0.20936399999999999</v>
      </c>
      <c r="I14" s="6"/>
      <c r="J14" s="6"/>
      <c r="K14" s="6"/>
      <c r="L14" s="57"/>
    </row>
    <row r="15" spans="1:13" s="4" customFormat="1" ht="15" customHeight="1">
      <c r="A15" s="18">
        <v>4</v>
      </c>
      <c r="B15" s="18">
        <v>5.4596470000000004</v>
      </c>
      <c r="C15" s="18">
        <v>5.4504979999999996</v>
      </c>
      <c r="D15" s="92">
        <v>0.19895599999999999</v>
      </c>
      <c r="E15" s="18">
        <v>0.21402299999999999</v>
      </c>
      <c r="I15" s="6"/>
      <c r="J15" s="6"/>
      <c r="K15" s="6"/>
      <c r="L15" s="57"/>
    </row>
    <row r="16" spans="1:13" s="4" customFormat="1" ht="15" customHeight="1">
      <c r="A16" s="18">
        <v>5</v>
      </c>
      <c r="B16" s="18">
        <v>5.4271310000000001</v>
      </c>
      <c r="C16" s="92">
        <v>5.3762639999999999</v>
      </c>
      <c r="D16" s="18">
        <v>0.211118</v>
      </c>
      <c r="E16" s="18">
        <v>0.221465</v>
      </c>
      <c r="I16" s="6"/>
      <c r="J16" s="6"/>
      <c r="K16" s="6"/>
      <c r="L16" s="57"/>
    </row>
    <row r="17" spans="1:13" s="4" customFormat="1" ht="15" customHeight="1">
      <c r="A17" s="18">
        <v>6</v>
      </c>
      <c r="B17" s="18">
        <v>5.4548560000000004</v>
      </c>
      <c r="C17" s="18">
        <v>5.3156720000000002</v>
      </c>
      <c r="D17" s="18">
        <v>0.20299500000000001</v>
      </c>
      <c r="E17" s="91">
        <v>0.20874999999999999</v>
      </c>
      <c r="I17" s="6"/>
      <c r="J17" s="6"/>
      <c r="K17" s="6"/>
      <c r="L17" s="57"/>
    </row>
    <row r="18" spans="1:13" s="4" customFormat="1" ht="15" customHeight="1">
      <c r="A18" s="18" t="s">
        <v>51</v>
      </c>
      <c r="B18" s="50">
        <f>ROUND(AVERAGE(B12:B17),6)</f>
        <v>5.4558160000000004</v>
      </c>
      <c r="C18" s="50">
        <f>ROUND(AVERAGE(C12:C17),6)</f>
        <v>5.3697609999999996</v>
      </c>
      <c r="D18" s="50">
        <f>ROUND(AVERAGE(D12:D17),6)</f>
        <v>0.20284199999999999</v>
      </c>
      <c r="E18" s="50">
        <f>ROUND(AVERAGE(E12:E17),6)</f>
        <v>0.21415000000000001</v>
      </c>
      <c r="I18" s="6"/>
      <c r="J18" s="6"/>
      <c r="K18" s="6"/>
      <c r="L18" s="57"/>
    </row>
    <row r="19" spans="1:13" s="4" customFormat="1" ht="15" customHeight="1">
      <c r="A19" s="18" t="s">
        <v>5</v>
      </c>
      <c r="B19" s="50">
        <f>ROUND(STDEV(B12:B17),6)</f>
        <v>5.5398999999999997E-2</v>
      </c>
      <c r="C19" s="50">
        <f>ROUND(STDEV(C12:C17),6)</f>
        <v>8.2415000000000002E-2</v>
      </c>
      <c r="D19" s="50">
        <f>ROUND(STDEV(D12:D17),6)</f>
        <v>4.3730000000000002E-3</v>
      </c>
      <c r="E19" s="50">
        <f>ROUND(STDEV(E12:E17),6)</f>
        <v>5.2690000000000002E-3</v>
      </c>
      <c r="I19" s="6"/>
      <c r="J19" s="6"/>
      <c r="K19" s="6"/>
      <c r="L19" s="57"/>
    </row>
    <row r="20" spans="1:13" s="4" customFormat="1" ht="15" customHeight="1">
      <c r="A20" s="18" t="s">
        <v>99</v>
      </c>
      <c r="B20" s="51">
        <f>ROUND(B19/B18*100,1)</f>
        <v>1</v>
      </c>
      <c r="C20" s="51">
        <f>ROUND(C19/C18*100,1)</f>
        <v>1.5</v>
      </c>
      <c r="D20" s="51">
        <f>ROUND(D19/D18*100,1)</f>
        <v>2.2000000000000002</v>
      </c>
      <c r="E20" s="51">
        <f>ROUND(E19/E18*100,1)</f>
        <v>2.5</v>
      </c>
      <c r="I20" s="6"/>
      <c r="J20" s="6"/>
      <c r="K20" s="6"/>
      <c r="L20" s="57"/>
    </row>
    <row r="21" spans="1:13">
      <c r="A21" s="52" t="s">
        <v>98</v>
      </c>
      <c r="B21" s="216">
        <f>ROUND((C18-B18)/B18*100,1)</f>
        <v>-1.6</v>
      </c>
      <c r="C21" s="217"/>
      <c r="D21" s="218">
        <f>ROUND((E18-D18)/D18*100,1)</f>
        <v>5.6</v>
      </c>
      <c r="E21" s="219"/>
      <c r="F21" s="4"/>
      <c r="G21" s="4"/>
      <c r="H21" s="4"/>
      <c r="K21" s="6"/>
      <c r="L21" s="57"/>
      <c r="M21" s="4"/>
    </row>
    <row r="22" spans="1:13">
      <c r="A22" s="11"/>
      <c r="B22" s="79"/>
      <c r="C22" s="79"/>
      <c r="D22" s="11"/>
      <c r="E22" s="11"/>
      <c r="F22" s="4"/>
      <c r="G22" s="4"/>
      <c r="H22" s="4"/>
      <c r="K22" s="6"/>
      <c r="L22" s="57"/>
      <c r="M22" s="4"/>
    </row>
    <row r="23" spans="1:13">
      <c r="A23" s="11"/>
      <c r="B23" s="11"/>
      <c r="C23" s="11"/>
      <c r="D23" s="11"/>
      <c r="E23" s="11"/>
      <c r="F23" s="4"/>
      <c r="G23" s="4"/>
      <c r="H23" s="4"/>
      <c r="K23" s="6"/>
      <c r="L23" s="57"/>
      <c r="M23" s="4"/>
    </row>
    <row r="24" spans="1:13" ht="26.25">
      <c r="B24" s="77" t="s">
        <v>217</v>
      </c>
      <c r="C24" s="16" t="s">
        <v>233</v>
      </c>
      <c r="D24" s="16" t="s">
        <v>234</v>
      </c>
      <c r="E24" s="78" t="s">
        <v>235</v>
      </c>
    </row>
    <row r="25" spans="1:13" s="2" customFormat="1">
      <c r="B25" s="93" t="s">
        <v>274</v>
      </c>
      <c r="C25" s="102">
        <v>5273012</v>
      </c>
      <c r="D25" s="102">
        <v>1070625</v>
      </c>
      <c r="E25" s="95">
        <f>ROUND(D25/C25,6)</f>
        <v>0.203039</v>
      </c>
      <c r="K25" s="103"/>
    </row>
    <row r="26" spans="1:13" s="2" customFormat="1">
      <c r="B26" s="96" t="s">
        <v>275</v>
      </c>
      <c r="C26" s="104">
        <v>5312706</v>
      </c>
      <c r="D26" s="104">
        <v>1061833</v>
      </c>
      <c r="E26" s="98">
        <f t="shared" ref="E26:E30" si="0">ROUND(D26/C26,6)</f>
        <v>0.19986699999999999</v>
      </c>
      <c r="K26" s="103"/>
    </row>
    <row r="27" spans="1:13" s="2" customFormat="1">
      <c r="B27" s="96" t="s">
        <v>276</v>
      </c>
      <c r="C27" s="104">
        <v>5413378</v>
      </c>
      <c r="D27" s="104">
        <v>1088489</v>
      </c>
      <c r="E27" s="98">
        <f t="shared" si="0"/>
        <v>0.201074</v>
      </c>
      <c r="K27" s="103"/>
    </row>
    <row r="28" spans="1:13" s="2" customFormat="1">
      <c r="B28" s="96" t="s">
        <v>277</v>
      </c>
      <c r="C28" s="104">
        <v>5601800</v>
      </c>
      <c r="D28" s="104">
        <v>1114513</v>
      </c>
      <c r="E28" s="98">
        <f t="shared" si="0"/>
        <v>0.19895599999999999</v>
      </c>
      <c r="K28" s="103"/>
    </row>
    <row r="29" spans="1:13" s="2" customFormat="1">
      <c r="B29" s="96" t="s">
        <v>278</v>
      </c>
      <c r="C29" s="104">
        <v>5723126</v>
      </c>
      <c r="D29" s="104">
        <v>1208254</v>
      </c>
      <c r="E29" s="98">
        <f t="shared" si="0"/>
        <v>0.211118</v>
      </c>
      <c r="K29" s="103"/>
    </row>
    <row r="30" spans="1:13" s="2" customFormat="1">
      <c r="B30" s="96" t="s">
        <v>279</v>
      </c>
      <c r="C30" s="104">
        <v>5818856</v>
      </c>
      <c r="D30" s="104">
        <v>1181199</v>
      </c>
      <c r="E30" s="98">
        <f t="shared" si="0"/>
        <v>0.20299500000000001</v>
      </c>
      <c r="K30" s="103"/>
    </row>
    <row r="31" spans="1:13" s="2" customFormat="1">
      <c r="B31" s="96" t="s">
        <v>286</v>
      </c>
      <c r="C31" s="104">
        <v>6120804</v>
      </c>
      <c r="D31" s="104">
        <v>1296739</v>
      </c>
      <c r="E31" s="98">
        <f>ROUND(D31/C31,6)</f>
        <v>0.21185799999999999</v>
      </c>
      <c r="K31" s="103"/>
    </row>
    <row r="32" spans="1:13" s="2" customFormat="1">
      <c r="B32" s="96" t="s">
        <v>287</v>
      </c>
      <c r="C32" s="104">
        <v>6105019</v>
      </c>
      <c r="D32" s="104">
        <v>1339687</v>
      </c>
      <c r="E32" s="98">
        <f t="shared" ref="E32:E36" si="1">ROUND(D32/C32,6)</f>
        <v>0.21944</v>
      </c>
      <c r="K32" s="103"/>
    </row>
    <row r="33" spans="2:11" s="2" customFormat="1">
      <c r="B33" s="96" t="s">
        <v>288</v>
      </c>
      <c r="C33" s="104">
        <v>6346252</v>
      </c>
      <c r="D33" s="104">
        <v>1328677</v>
      </c>
      <c r="E33" s="98">
        <f t="shared" si="1"/>
        <v>0.20936399999999999</v>
      </c>
      <c r="K33" s="103"/>
    </row>
    <row r="34" spans="2:11" s="2" customFormat="1">
      <c r="B34" s="96" t="s">
        <v>289</v>
      </c>
      <c r="C34" s="104">
        <v>6530922</v>
      </c>
      <c r="D34" s="104">
        <v>1397767</v>
      </c>
      <c r="E34" s="98">
        <f t="shared" si="1"/>
        <v>0.21402299999999999</v>
      </c>
      <c r="K34" s="103"/>
    </row>
    <row r="35" spans="2:11" s="2" customFormat="1">
      <c r="B35" s="96" t="s">
        <v>290</v>
      </c>
      <c r="C35" s="104">
        <v>6724620</v>
      </c>
      <c r="D35" s="104">
        <v>1489267</v>
      </c>
      <c r="E35" s="98">
        <f t="shared" si="1"/>
        <v>0.221465</v>
      </c>
      <c r="K35" s="103"/>
    </row>
    <row r="36" spans="2:11" s="2" customFormat="1">
      <c r="B36" s="99" t="s">
        <v>291</v>
      </c>
      <c r="C36" s="105">
        <v>6872570</v>
      </c>
      <c r="D36" s="105">
        <v>1434648</v>
      </c>
      <c r="E36" s="101">
        <f t="shared" si="1"/>
        <v>0.20874999999999999</v>
      </c>
      <c r="K36" s="103"/>
    </row>
  </sheetData>
  <mergeCells count="13">
    <mergeCell ref="D10:E10"/>
    <mergeCell ref="B21:C21"/>
    <mergeCell ref="D21:E21"/>
    <mergeCell ref="A2:B2"/>
    <mergeCell ref="A5:E5"/>
    <mergeCell ref="A6:A11"/>
    <mergeCell ref="B6:C6"/>
    <mergeCell ref="D6:E6"/>
    <mergeCell ref="B7:C7"/>
    <mergeCell ref="D7:E7"/>
    <mergeCell ref="B8:C8"/>
    <mergeCell ref="D8:E8"/>
    <mergeCell ref="B10:C10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&amp;C 1632MV7生物分析方法学验证数据</oddHeader>
    <oddFooter>&amp;C第&amp;P页，共&amp;N页</oddFooter>
  </headerFooter>
  <colBreaks count="1" manualBreakCount="1">
    <brk id="5" max="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9ACD-9162-4658-AFF0-4CC03032E1E3}">
  <sheetPr>
    <tabColor rgb="FF92D050"/>
    <pageSetUpPr fitToPage="1"/>
  </sheetPr>
  <dimension ref="A2:L35"/>
  <sheetViews>
    <sheetView view="pageBreakPreview" zoomScaleNormal="100" zoomScaleSheetLayoutView="100" workbookViewId="0">
      <selection activeCell="I16" sqref="I16"/>
    </sheetView>
  </sheetViews>
  <sheetFormatPr defaultColWidth="8.875" defaultRowHeight="13.5"/>
  <cols>
    <col min="1" max="1" width="15.875" style="6" customWidth="1"/>
    <col min="2" max="2" width="14.375" style="6" customWidth="1"/>
    <col min="3" max="3" width="17.375" style="6" customWidth="1"/>
    <col min="4" max="4" width="13.25" style="6" customWidth="1"/>
    <col min="5" max="5" width="18.5" style="6" customWidth="1"/>
    <col min="6" max="6" width="15.125" style="6" customWidth="1"/>
    <col min="7" max="7" width="15.375" style="6" customWidth="1"/>
    <col min="8" max="10" width="8.875" style="6"/>
    <col min="11" max="11" width="8.875" style="54"/>
    <col min="12" max="12" width="15.5" style="55" customWidth="1"/>
    <col min="13" max="16384" width="8.875" style="6"/>
  </cols>
  <sheetData>
    <row r="2" spans="1:12">
      <c r="A2" s="6" t="s">
        <v>89</v>
      </c>
    </row>
    <row r="4" spans="1:12">
      <c r="A4" s="6" t="s">
        <v>173</v>
      </c>
      <c r="I4" s="8"/>
      <c r="K4" s="3" t="s">
        <v>116</v>
      </c>
      <c r="L4" s="147">
        <v>45771</v>
      </c>
    </row>
    <row r="5" spans="1:12" s="4" customFormat="1" ht="15" customHeight="1">
      <c r="A5" s="163" t="s">
        <v>266</v>
      </c>
      <c r="B5" s="163"/>
      <c r="C5" s="163"/>
      <c r="D5" s="163"/>
      <c r="E5" s="163"/>
      <c r="F5" s="163"/>
      <c r="G5" s="163"/>
      <c r="I5" s="8"/>
      <c r="J5" s="6"/>
      <c r="K5" s="3" t="s">
        <v>117</v>
      </c>
      <c r="L5" s="147">
        <v>45979</v>
      </c>
    </row>
    <row r="6" spans="1:12" s="4" customFormat="1" ht="15" customHeight="1">
      <c r="A6" s="232"/>
      <c r="B6" s="174" t="s">
        <v>2</v>
      </c>
      <c r="C6" s="174"/>
      <c r="D6" s="174" t="s">
        <v>6</v>
      </c>
      <c r="E6" s="174"/>
      <c r="F6" s="174" t="s">
        <v>239</v>
      </c>
      <c r="G6" s="174"/>
      <c r="I6" s="8"/>
      <c r="J6" s="6"/>
      <c r="K6" s="3" t="s">
        <v>118</v>
      </c>
      <c r="L6" s="56">
        <f>L5-L4</f>
        <v>208</v>
      </c>
    </row>
    <row r="7" spans="1:12" s="4" customFormat="1" ht="15" customHeight="1">
      <c r="A7" s="226"/>
      <c r="B7" s="224" t="s">
        <v>267</v>
      </c>
      <c r="C7" s="177"/>
      <c r="D7" s="224" t="s">
        <v>267</v>
      </c>
      <c r="E7" s="177"/>
      <c r="F7" s="224" t="s">
        <v>267</v>
      </c>
      <c r="G7" s="177"/>
      <c r="K7" s="3"/>
      <c r="L7" s="57"/>
    </row>
    <row r="8" spans="1:12" s="4" customFormat="1" ht="15" customHeight="1">
      <c r="A8" s="226"/>
      <c r="B8" s="174" t="s">
        <v>104</v>
      </c>
      <c r="C8" s="174"/>
      <c r="D8" s="174" t="s">
        <v>104</v>
      </c>
      <c r="E8" s="174"/>
      <c r="F8" s="174" t="s">
        <v>104</v>
      </c>
      <c r="G8" s="174"/>
      <c r="K8" s="3"/>
      <c r="L8" s="57"/>
    </row>
    <row r="9" spans="1:12" s="4" customFormat="1" ht="15" customHeight="1">
      <c r="A9" s="226"/>
      <c r="B9" s="138">
        <v>1</v>
      </c>
      <c r="C9" s="18" t="s">
        <v>362</v>
      </c>
      <c r="D9" s="138">
        <v>500</v>
      </c>
      <c r="E9" s="18" t="s">
        <v>362</v>
      </c>
      <c r="F9" s="138">
        <v>40000</v>
      </c>
      <c r="G9" s="18" t="s">
        <v>59</v>
      </c>
      <c r="K9" s="3"/>
      <c r="L9" s="57"/>
    </row>
    <row r="10" spans="1:12" s="4" customFormat="1" ht="15" customHeight="1">
      <c r="A10" s="226"/>
      <c r="B10" s="174" t="s">
        <v>60</v>
      </c>
      <c r="C10" s="174"/>
      <c r="D10" s="174" t="s">
        <v>60</v>
      </c>
      <c r="E10" s="174"/>
      <c r="F10" s="174" t="s">
        <v>60</v>
      </c>
      <c r="G10" s="174"/>
      <c r="K10" s="3"/>
      <c r="L10" s="57"/>
    </row>
    <row r="11" spans="1:12" s="4" customFormat="1" ht="15" customHeight="1">
      <c r="A11" s="226"/>
      <c r="B11" s="18" t="s">
        <v>83</v>
      </c>
      <c r="C11" s="18" t="s">
        <v>61</v>
      </c>
      <c r="D11" s="18" t="s">
        <v>83</v>
      </c>
      <c r="E11" s="18" t="s">
        <v>61</v>
      </c>
      <c r="F11" s="18" t="s">
        <v>83</v>
      </c>
      <c r="G11" s="18" t="s">
        <v>61</v>
      </c>
      <c r="I11" s="57"/>
      <c r="J11" s="57"/>
      <c r="K11" s="57"/>
      <c r="L11" s="57"/>
    </row>
    <row r="12" spans="1:12" s="4" customFormat="1" ht="15" customHeight="1">
      <c r="A12" s="18">
        <v>1</v>
      </c>
      <c r="B12" s="16">
        <v>0.204872</v>
      </c>
      <c r="C12" s="16">
        <v>0.20760500000000001</v>
      </c>
      <c r="D12" s="16">
        <v>4.9897210000000003</v>
      </c>
      <c r="E12" s="106">
        <v>4.7580520000000002</v>
      </c>
      <c r="F12" s="92">
        <v>0.18661700000000001</v>
      </c>
      <c r="G12" s="92">
        <v>0.19817799999999999</v>
      </c>
      <c r="I12" s="57"/>
      <c r="J12" s="57"/>
      <c r="K12" s="57"/>
      <c r="L12" s="57"/>
    </row>
    <row r="13" spans="1:12" s="4" customFormat="1" ht="15" customHeight="1">
      <c r="A13" s="18">
        <v>2</v>
      </c>
      <c r="B13" s="16">
        <v>0.20702200000000001</v>
      </c>
      <c r="C13" s="16">
        <v>0.207929</v>
      </c>
      <c r="D13" s="16">
        <v>4.9604879999999998</v>
      </c>
      <c r="E13" s="106">
        <v>4.8123480000000001</v>
      </c>
      <c r="F13" s="92">
        <v>0.19284299999999999</v>
      </c>
      <c r="G13" s="92">
        <v>0.20097499999999999</v>
      </c>
      <c r="I13" s="57"/>
      <c r="J13" s="57"/>
      <c r="K13" s="57"/>
      <c r="L13" s="57"/>
    </row>
    <row r="14" spans="1:12" s="4" customFormat="1" ht="15" customHeight="1">
      <c r="A14" s="18">
        <v>3</v>
      </c>
      <c r="B14" s="106">
        <v>0.20397999999999999</v>
      </c>
      <c r="C14" s="16">
        <v>0.21054100000000001</v>
      </c>
      <c r="D14" s="16">
        <v>5.025423</v>
      </c>
      <c r="E14" s="16">
        <v>5.1822249999999999</v>
      </c>
      <c r="F14" s="92">
        <v>0.18615999999999999</v>
      </c>
      <c r="G14" s="92">
        <v>0.19038099999999999</v>
      </c>
      <c r="I14" s="57"/>
      <c r="J14" s="57"/>
      <c r="K14" s="57"/>
      <c r="L14" s="57"/>
    </row>
    <row r="15" spans="1:12" s="4" customFormat="1" ht="15" customHeight="1">
      <c r="A15" s="18">
        <v>4</v>
      </c>
      <c r="B15" s="16">
        <v>0.209037</v>
      </c>
      <c r="C15" s="16">
        <v>0.202126</v>
      </c>
      <c r="D15" s="16">
        <v>4.9941779999999998</v>
      </c>
      <c r="E15" s="16">
        <v>5.0982849999999997</v>
      </c>
      <c r="F15" s="92">
        <v>0.193604</v>
      </c>
      <c r="G15" s="92">
        <v>0.19814399999999999</v>
      </c>
      <c r="I15" s="57"/>
      <c r="J15" s="57"/>
      <c r="K15" s="57"/>
      <c r="L15" s="57"/>
    </row>
    <row r="16" spans="1:12" s="4" customFormat="1" ht="15" customHeight="1">
      <c r="A16" s="18">
        <v>5</v>
      </c>
      <c r="B16" s="16">
        <v>0.207121</v>
      </c>
      <c r="C16" s="16">
        <v>0.210809</v>
      </c>
      <c r="D16" s="16">
        <v>5.0444250000000004</v>
      </c>
      <c r="E16" s="16">
        <v>5.071561</v>
      </c>
      <c r="F16" s="92">
        <v>0.190776</v>
      </c>
      <c r="G16" s="92">
        <v>0.19753100000000001</v>
      </c>
      <c r="I16" s="57"/>
      <c r="J16" s="57"/>
      <c r="K16" s="57"/>
      <c r="L16" s="57"/>
    </row>
    <row r="17" spans="1:12" s="4" customFormat="1" ht="15" customHeight="1">
      <c r="A17" s="18">
        <v>6</v>
      </c>
      <c r="B17" s="106">
        <v>0.20147399999999999</v>
      </c>
      <c r="C17" s="16">
        <v>0.20036699999999999</v>
      </c>
      <c r="D17" s="16">
        <v>5.0110720000000004</v>
      </c>
      <c r="E17" s="16">
        <v>5.1728129999999997</v>
      </c>
      <c r="F17" s="92">
        <v>0.184117</v>
      </c>
      <c r="G17" s="92">
        <v>0.195048</v>
      </c>
      <c r="I17" s="57"/>
      <c r="J17" s="57"/>
      <c r="K17" s="57"/>
      <c r="L17" s="57"/>
    </row>
    <row r="18" spans="1:12" s="4" customFormat="1" ht="15" customHeight="1">
      <c r="A18" s="18" t="s">
        <v>51</v>
      </c>
      <c r="B18" s="50">
        <f t="shared" ref="B18:G18" si="0">ROUND(AVERAGE(B12:B17),6)</f>
        <v>0.20558399999999999</v>
      </c>
      <c r="C18" s="50">
        <f t="shared" si="0"/>
        <v>0.206563</v>
      </c>
      <c r="D18" s="50">
        <f t="shared" si="0"/>
        <v>5.0042179999999998</v>
      </c>
      <c r="E18" s="50">
        <f t="shared" si="0"/>
        <v>5.0158810000000003</v>
      </c>
      <c r="F18" s="126">
        <f t="shared" si="0"/>
        <v>0.18901999999999999</v>
      </c>
      <c r="G18" s="126">
        <f t="shared" si="0"/>
        <v>0.19671</v>
      </c>
      <c r="I18" s="57"/>
      <c r="J18" s="57"/>
      <c r="K18" s="57"/>
      <c r="L18" s="57"/>
    </row>
    <row r="19" spans="1:12" s="4" customFormat="1" ht="15" customHeight="1">
      <c r="A19" s="18" t="s">
        <v>5</v>
      </c>
      <c r="B19" s="50">
        <f t="shared" ref="B19:G19" si="1">ROUND(STDEV(B12:B17),6)</f>
        <v>2.6949999999999999E-3</v>
      </c>
      <c r="C19" s="50">
        <f t="shared" si="1"/>
        <v>4.3559999999999996E-3</v>
      </c>
      <c r="D19" s="50">
        <f t="shared" si="1"/>
        <v>2.945E-2</v>
      </c>
      <c r="E19" s="50">
        <f t="shared" si="1"/>
        <v>0.18443999999999999</v>
      </c>
      <c r="F19" s="126">
        <f t="shared" si="1"/>
        <v>3.9170000000000003E-3</v>
      </c>
      <c r="G19" s="126">
        <f t="shared" si="1"/>
        <v>3.63E-3</v>
      </c>
      <c r="I19" s="57"/>
      <c r="J19" s="57"/>
      <c r="K19" s="57"/>
      <c r="L19" s="57"/>
    </row>
    <row r="20" spans="1:12" s="4" customFormat="1" ht="15" customHeight="1">
      <c r="A20" s="18" t="s">
        <v>99</v>
      </c>
      <c r="B20" s="51">
        <f>ROUND(B19/B18*100,1)</f>
        <v>1.3</v>
      </c>
      <c r="C20" s="51">
        <f>ROUND(C19/C18*100,1)</f>
        <v>2.1</v>
      </c>
      <c r="D20" s="51">
        <f>ROUND(D19/D18*100,1)</f>
        <v>0.6</v>
      </c>
      <c r="E20" s="51">
        <f>ROUND(E19/E18*100,1)</f>
        <v>3.7</v>
      </c>
      <c r="F20" s="127">
        <f t="shared" ref="F20:G20" si="2">ROUND(F19/F18*100,1)</f>
        <v>2.1</v>
      </c>
      <c r="G20" s="127">
        <f t="shared" si="2"/>
        <v>1.8</v>
      </c>
      <c r="I20" s="57"/>
      <c r="J20" s="57"/>
      <c r="K20" s="57"/>
      <c r="L20" s="57"/>
    </row>
    <row r="21" spans="1:12">
      <c r="A21" s="52" t="s">
        <v>98</v>
      </c>
      <c r="B21" s="231">
        <f>ROUND((C18-B18)/B18*100,1)</f>
        <v>0.5</v>
      </c>
      <c r="C21" s="231"/>
      <c r="D21" s="231">
        <f>ROUND((E18-D18)/D18*100,1)</f>
        <v>0.2</v>
      </c>
      <c r="E21" s="231"/>
      <c r="F21" s="128">
        <f>ROUND((G18-F18)/F18*100,1)</f>
        <v>4.0999999999999996</v>
      </c>
      <c r="G21" s="128"/>
      <c r="H21" s="4"/>
      <c r="I21" s="57"/>
      <c r="J21" s="57"/>
      <c r="K21" s="57"/>
    </row>
    <row r="22" spans="1:12">
      <c r="F22" s="4"/>
      <c r="G22" s="4"/>
      <c r="H22" s="4"/>
      <c r="I22" s="57"/>
      <c r="J22" s="57"/>
      <c r="K22" s="57"/>
    </row>
    <row r="23" spans="1:12" ht="26.25">
      <c r="B23" s="77" t="s">
        <v>232</v>
      </c>
      <c r="C23" s="16" t="s">
        <v>233</v>
      </c>
      <c r="D23" s="16" t="s">
        <v>234</v>
      </c>
      <c r="E23" s="78" t="s">
        <v>235</v>
      </c>
    </row>
    <row r="24" spans="1:12">
      <c r="B24" s="93" t="s">
        <v>320</v>
      </c>
      <c r="C24" s="144">
        <v>4201510</v>
      </c>
      <c r="D24" s="144">
        <v>784073</v>
      </c>
      <c r="E24" s="95">
        <f t="shared" ref="E24:E35" si="3">ROUND(D24/C24,6)</f>
        <v>0.18661700000000001</v>
      </c>
    </row>
    <row r="25" spans="1:12">
      <c r="B25" s="96" t="s">
        <v>321</v>
      </c>
      <c r="C25" s="145">
        <v>4188366</v>
      </c>
      <c r="D25" s="145">
        <v>807699</v>
      </c>
      <c r="E25" s="98">
        <f t="shared" si="3"/>
        <v>0.19284299999999999</v>
      </c>
    </row>
    <row r="26" spans="1:12">
      <c r="B26" s="96" t="s">
        <v>322</v>
      </c>
      <c r="C26" s="145">
        <v>4197542</v>
      </c>
      <c r="D26" s="145">
        <v>781413</v>
      </c>
      <c r="E26" s="98">
        <f t="shared" si="3"/>
        <v>0.18615999999999999</v>
      </c>
    </row>
    <row r="27" spans="1:12">
      <c r="B27" s="96" t="s">
        <v>323</v>
      </c>
      <c r="C27" s="145">
        <v>4158914</v>
      </c>
      <c r="D27" s="145">
        <v>805184</v>
      </c>
      <c r="E27" s="98">
        <f t="shared" si="3"/>
        <v>0.193604</v>
      </c>
    </row>
    <row r="28" spans="1:12">
      <c r="B28" s="96" t="s">
        <v>324</v>
      </c>
      <c r="C28" s="145">
        <v>4236929</v>
      </c>
      <c r="D28" s="145">
        <v>808304</v>
      </c>
      <c r="E28" s="98">
        <f t="shared" si="3"/>
        <v>0.190776</v>
      </c>
    </row>
    <row r="29" spans="1:12">
      <c r="B29" s="96" t="s">
        <v>325</v>
      </c>
      <c r="C29" s="145">
        <v>4339799</v>
      </c>
      <c r="D29" s="145">
        <v>799029</v>
      </c>
      <c r="E29" s="98">
        <f t="shared" si="3"/>
        <v>0.184117</v>
      </c>
    </row>
    <row r="30" spans="1:12">
      <c r="B30" s="96" t="s">
        <v>326</v>
      </c>
      <c r="C30" s="145">
        <v>4241919</v>
      </c>
      <c r="D30" s="145">
        <v>840654</v>
      </c>
      <c r="E30" s="98">
        <f t="shared" si="3"/>
        <v>0.19817799999999999</v>
      </c>
    </row>
    <row r="31" spans="1:12">
      <c r="B31" s="96" t="s">
        <v>327</v>
      </c>
      <c r="C31" s="145">
        <v>4132044</v>
      </c>
      <c r="D31" s="145">
        <v>830439</v>
      </c>
      <c r="E31" s="98">
        <f t="shared" si="3"/>
        <v>0.20097499999999999</v>
      </c>
    </row>
    <row r="32" spans="1:12">
      <c r="B32" s="96" t="s">
        <v>328</v>
      </c>
      <c r="C32" s="145">
        <v>4283122</v>
      </c>
      <c r="D32" s="145">
        <v>815423</v>
      </c>
      <c r="E32" s="98">
        <f t="shared" si="3"/>
        <v>0.19038099999999999</v>
      </c>
    </row>
    <row r="33" spans="2:5">
      <c r="B33" s="96" t="s">
        <v>329</v>
      </c>
      <c r="C33" s="145">
        <v>4245913</v>
      </c>
      <c r="D33" s="145">
        <v>841302</v>
      </c>
      <c r="E33" s="98">
        <f t="shared" si="3"/>
        <v>0.19814399999999999</v>
      </c>
    </row>
    <row r="34" spans="2:5">
      <c r="B34" s="96" t="s">
        <v>330</v>
      </c>
      <c r="C34" s="145">
        <v>4357362</v>
      </c>
      <c r="D34" s="145">
        <v>860712</v>
      </c>
      <c r="E34" s="98">
        <f t="shared" si="3"/>
        <v>0.19753100000000001</v>
      </c>
    </row>
    <row r="35" spans="2:5">
      <c r="B35" s="99" t="s">
        <v>331</v>
      </c>
      <c r="C35" s="146">
        <v>4245140</v>
      </c>
      <c r="D35" s="146">
        <v>828006</v>
      </c>
      <c r="E35" s="101">
        <f t="shared" si="3"/>
        <v>0.195048</v>
      </c>
    </row>
  </sheetData>
  <mergeCells count="16">
    <mergeCell ref="B21:C21"/>
    <mergeCell ref="D21:E21"/>
    <mergeCell ref="A6:A11"/>
    <mergeCell ref="B6:C6"/>
    <mergeCell ref="D6:E6"/>
    <mergeCell ref="B7:C7"/>
    <mergeCell ref="D7:E7"/>
    <mergeCell ref="B8:C8"/>
    <mergeCell ref="D8:E8"/>
    <mergeCell ref="F6:G6"/>
    <mergeCell ref="F7:G7"/>
    <mergeCell ref="F8:G8"/>
    <mergeCell ref="F10:G10"/>
    <mergeCell ref="A5:G5"/>
    <mergeCell ref="B10:C10"/>
    <mergeCell ref="D10:E10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52"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pageSetUpPr fitToPage="1"/>
  </sheetPr>
  <dimension ref="A2:K21"/>
  <sheetViews>
    <sheetView tabSelected="1" zoomScaleNormal="100" zoomScaleSheetLayoutView="100" workbookViewId="0">
      <selection activeCell="F28" sqref="F28"/>
    </sheetView>
  </sheetViews>
  <sheetFormatPr defaultColWidth="8.875" defaultRowHeight="13.5"/>
  <cols>
    <col min="1" max="1" width="13.5" style="6" customWidth="1"/>
    <col min="2" max="2" width="14.625" style="6" customWidth="1"/>
    <col min="3" max="3" width="10.625" style="6" customWidth="1"/>
    <col min="4" max="4" width="12.875" style="6" customWidth="1"/>
    <col min="5" max="5" width="10.875" style="6" customWidth="1"/>
    <col min="6" max="6" width="14.5" style="6" customWidth="1"/>
    <col min="7" max="9" width="8.875" style="6"/>
    <col min="10" max="10" width="8.875" style="54"/>
    <col min="11" max="11" width="15.5" style="55" customWidth="1"/>
    <col min="12" max="16384" width="8.875" style="6"/>
  </cols>
  <sheetData>
    <row r="2" spans="1:11">
      <c r="A2" s="6" t="s">
        <v>88</v>
      </c>
    </row>
    <row r="4" spans="1:11">
      <c r="A4" s="6" t="s">
        <v>172</v>
      </c>
    </row>
    <row r="5" spans="1:11">
      <c r="A5" s="58" t="s">
        <v>270</v>
      </c>
      <c r="B5" s="7"/>
      <c r="C5" s="7"/>
      <c r="D5" s="7"/>
      <c r="E5" s="7"/>
      <c r="H5" s="8"/>
      <c r="J5" s="3" t="s">
        <v>116</v>
      </c>
      <c r="K5" s="147">
        <v>45771</v>
      </c>
    </row>
    <row r="6" spans="1:11" ht="14.1" customHeight="1">
      <c r="A6" s="192" t="s">
        <v>84</v>
      </c>
      <c r="B6" s="192" t="s">
        <v>57</v>
      </c>
      <c r="C6" s="18" t="s">
        <v>4</v>
      </c>
      <c r="D6" s="174" t="s">
        <v>97</v>
      </c>
      <c r="E6" s="18" t="s">
        <v>3</v>
      </c>
      <c r="F6" s="189" t="s">
        <v>97</v>
      </c>
      <c r="H6" s="8"/>
      <c r="J6" s="3" t="s">
        <v>117</v>
      </c>
      <c r="K6" s="147">
        <v>45986</v>
      </c>
    </row>
    <row r="7" spans="1:11" ht="14.1" customHeight="1">
      <c r="A7" s="233"/>
      <c r="B7" s="233"/>
      <c r="C7" s="59">
        <v>150</v>
      </c>
      <c r="D7" s="174"/>
      <c r="E7" s="59">
        <v>18750</v>
      </c>
      <c r="F7" s="189"/>
      <c r="H7" s="8"/>
      <c r="J7" s="3" t="s">
        <v>118</v>
      </c>
      <c r="K7" s="56">
        <f>K6-K5</f>
        <v>215</v>
      </c>
    </row>
    <row r="8" spans="1:11" ht="15" customHeight="1">
      <c r="A8" s="193"/>
      <c r="B8" s="193"/>
      <c r="C8" s="19" t="s">
        <v>37</v>
      </c>
      <c r="D8" s="174"/>
      <c r="E8" s="19" t="s">
        <v>37</v>
      </c>
      <c r="F8" s="189"/>
    </row>
    <row r="9" spans="1:11" ht="15" customHeight="1">
      <c r="A9" s="234">
        <v>45987</v>
      </c>
      <c r="B9" s="192">
        <v>12</v>
      </c>
      <c r="C9" s="115">
        <v>147.03800000000001</v>
      </c>
      <c r="D9" s="74">
        <f t="shared" ref="D9:D14" si="0">ROUND((C9-C$7)/C$7*100,1)</f>
        <v>-2</v>
      </c>
      <c r="E9" s="115">
        <v>19236.536</v>
      </c>
      <c r="F9" s="74">
        <f t="shared" ref="F9:F14" si="1">ROUND((E9-E$7)/E$7*100,1)</f>
        <v>2.6</v>
      </c>
    </row>
    <row r="10" spans="1:11" ht="15" customHeight="1">
      <c r="A10" s="234"/>
      <c r="B10" s="233"/>
      <c r="C10" s="115">
        <v>136.28</v>
      </c>
      <c r="D10" s="74">
        <f t="shared" si="0"/>
        <v>-9.1</v>
      </c>
      <c r="E10" s="115">
        <v>18736.690999999999</v>
      </c>
      <c r="F10" s="74">
        <f t="shared" si="1"/>
        <v>-0.1</v>
      </c>
    </row>
    <row r="11" spans="1:11" ht="15" customHeight="1">
      <c r="A11" s="234"/>
      <c r="B11" s="233"/>
      <c r="C11" s="115">
        <v>150.12899999999999</v>
      </c>
      <c r="D11" s="74">
        <f t="shared" si="0"/>
        <v>0.1</v>
      </c>
      <c r="E11" s="115">
        <v>18701.094000000001</v>
      </c>
      <c r="F11" s="74">
        <f t="shared" si="1"/>
        <v>-0.3</v>
      </c>
    </row>
    <row r="12" spans="1:11" ht="15" customHeight="1">
      <c r="A12" s="234"/>
      <c r="B12" s="233"/>
      <c r="C12" s="115">
        <v>168.167</v>
      </c>
      <c r="D12" s="74">
        <f t="shared" si="0"/>
        <v>12.1</v>
      </c>
      <c r="E12" s="115">
        <v>19001.795999999998</v>
      </c>
      <c r="F12" s="74">
        <f t="shared" si="1"/>
        <v>1.3</v>
      </c>
    </row>
    <row r="13" spans="1:11" ht="15" customHeight="1">
      <c r="A13" s="234"/>
      <c r="B13" s="233"/>
      <c r="C13" s="115">
        <v>150.21199999999999</v>
      </c>
      <c r="D13" s="74">
        <f t="shared" si="0"/>
        <v>0.1</v>
      </c>
      <c r="E13" s="115">
        <v>18254.035</v>
      </c>
      <c r="F13" s="74">
        <f t="shared" si="1"/>
        <v>-2.6</v>
      </c>
    </row>
    <row r="14" spans="1:11" ht="15" customHeight="1">
      <c r="A14" s="234"/>
      <c r="B14" s="193"/>
      <c r="C14" s="115">
        <v>138.78200000000001</v>
      </c>
      <c r="D14" s="74">
        <f t="shared" si="0"/>
        <v>-7.5</v>
      </c>
      <c r="E14" s="115">
        <v>19252.623</v>
      </c>
      <c r="F14" s="74">
        <f t="shared" si="1"/>
        <v>2.7</v>
      </c>
    </row>
    <row r="15" spans="1:11" ht="15" customHeight="1">
      <c r="A15" s="16" t="s">
        <v>58</v>
      </c>
      <c r="B15" s="199"/>
      <c r="C15" s="73">
        <f>ROUND(AVERAGE(C9:C14),3)</f>
        <v>148.435</v>
      </c>
      <c r="D15" s="199"/>
      <c r="E15" s="73">
        <f>ROUND(AVERAGE(E9:E14),3)</f>
        <v>18863.795999999998</v>
      </c>
      <c r="F15" s="199"/>
    </row>
    <row r="16" spans="1:11" ht="15" customHeight="1">
      <c r="A16" s="16" t="s">
        <v>5</v>
      </c>
      <c r="B16" s="200"/>
      <c r="C16" s="16">
        <f>ROUND(STDEV(C9:C14),3)</f>
        <v>11.298</v>
      </c>
      <c r="D16" s="200"/>
      <c r="E16" s="16">
        <f>ROUND(STDEV(E9:E14),3)</f>
        <v>380.42099999999999</v>
      </c>
      <c r="F16" s="200"/>
    </row>
    <row r="17" spans="1:8" ht="15" customHeight="1">
      <c r="A17" s="16" t="s">
        <v>102</v>
      </c>
      <c r="B17" s="200"/>
      <c r="C17" s="74">
        <f>ROUND(C16/C15*100,1)</f>
        <v>7.6</v>
      </c>
      <c r="D17" s="200"/>
      <c r="E17" s="74">
        <f>ROUND(E16/E15*100,1)</f>
        <v>2</v>
      </c>
      <c r="F17" s="200"/>
      <c r="H17" s="14"/>
    </row>
    <row r="18" spans="1:8" ht="15" customHeight="1">
      <c r="A18" s="16" t="s">
        <v>103</v>
      </c>
      <c r="B18" s="200"/>
      <c r="C18" s="74">
        <f>ROUND(C15/C$7*100,1)</f>
        <v>99</v>
      </c>
      <c r="D18" s="200"/>
      <c r="E18" s="74">
        <f>ROUND(E15/E$7*100,1)</f>
        <v>100.6</v>
      </c>
      <c r="F18" s="200"/>
    </row>
    <row r="19" spans="1:8" ht="15" customHeight="1">
      <c r="A19" s="16" t="s">
        <v>7</v>
      </c>
      <c r="B19" s="201"/>
      <c r="C19" s="16">
        <v>6</v>
      </c>
      <c r="D19" s="201"/>
      <c r="E19" s="16">
        <v>6</v>
      </c>
      <c r="F19" s="201"/>
    </row>
    <row r="20" spans="1:8" ht="15" customHeight="1">
      <c r="E20" s="13"/>
      <c r="F20" s="13"/>
    </row>
    <row r="21" spans="1:8">
      <c r="A21" s="11"/>
      <c r="B21" s="11"/>
      <c r="C21" s="11"/>
      <c r="D21" s="11"/>
      <c r="E21" s="11"/>
    </row>
  </sheetData>
  <mergeCells count="9">
    <mergeCell ref="A6:A8"/>
    <mergeCell ref="B6:B8"/>
    <mergeCell ref="D6:D8"/>
    <mergeCell ref="F6:F8"/>
    <mergeCell ref="B15:B19"/>
    <mergeCell ref="A9:A14"/>
    <mergeCell ref="B9:B14"/>
    <mergeCell ref="D15:D19"/>
    <mergeCell ref="F15:F1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  <pageSetUpPr fitToPage="1"/>
  </sheetPr>
  <dimension ref="A3:D63"/>
  <sheetViews>
    <sheetView workbookViewId="0">
      <selection activeCell="D12" sqref="D12"/>
    </sheetView>
  </sheetViews>
  <sheetFormatPr defaultColWidth="9" defaultRowHeight="15"/>
  <cols>
    <col min="1" max="1" width="22.5" style="1" customWidth="1"/>
    <col min="2" max="16384" width="9" style="1"/>
  </cols>
  <sheetData>
    <row r="3" spans="1:4">
      <c r="A3" s="1" t="s">
        <v>114</v>
      </c>
      <c r="B3" s="1" t="s">
        <v>135</v>
      </c>
      <c r="C3" s="2" t="s">
        <v>136</v>
      </c>
      <c r="D3" s="2" t="s">
        <v>137</v>
      </c>
    </row>
    <row r="62" spans="2:2">
      <c r="B62" s="6"/>
    </row>
    <row r="63" spans="2:2">
      <c r="B63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63:B64"/>
  <sheetViews>
    <sheetView workbookViewId="0">
      <selection activeCell="O31" sqref="O31"/>
    </sheetView>
  </sheetViews>
  <sheetFormatPr defaultColWidth="9" defaultRowHeight="15"/>
  <cols>
    <col min="1" max="16384" width="9" style="1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1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1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5</vt:i4>
      </vt:variant>
    </vt:vector>
  </HeadingPairs>
  <TitlesOfParts>
    <vt:vector size="26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表7_Regression</vt:lpstr>
      <vt:lpstr>表8_curve</vt:lpstr>
      <vt:lpstr>表10 QC (除准确度精密度分析批）</vt:lpstr>
      <vt:lpstr>表14_stock ST</vt:lpstr>
      <vt:lpstr>表15_spike ST</vt:lpstr>
      <vt:lpstr>表16_stock LT</vt:lpstr>
      <vt:lpstr>表17_spike LT</vt:lpstr>
      <vt:lpstr>表21_LTS</vt:lpstr>
      <vt:lpstr>分析天平</vt:lpstr>
      <vt:lpstr>（选择性图谱）空白基质图谱</vt:lpstr>
      <vt:lpstr>（选择性图谱）最低定量限图谱</vt:lpstr>
      <vt:lpstr>标准曲线</vt:lpstr>
      <vt:lpstr>'2.5试剂'!Print_Area</vt:lpstr>
      <vt:lpstr>表1_schedule!Print_Area</vt:lpstr>
      <vt:lpstr>'表16_stock LT'!Print_Area</vt:lpstr>
      <vt:lpstr>表2_SST!Print_Area</vt:lpstr>
      <vt:lpstr>表7_Regression!Print_Area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丰丕雪</cp:lastModifiedBy>
  <cp:lastPrinted>2019-09-17T03:14:27Z</cp:lastPrinted>
  <dcterms:created xsi:type="dcterms:W3CDTF">2016-03-17T02:40:20Z</dcterms:created>
  <dcterms:modified xsi:type="dcterms:W3CDTF">2025-12-17T10:41:59Z</dcterms:modified>
</cp:coreProperties>
</file>