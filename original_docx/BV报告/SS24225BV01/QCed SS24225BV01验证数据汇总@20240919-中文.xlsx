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qxue\Desktop\SS24225BV01二次数据\"/>
    </mc:Choice>
  </mc:AlternateContent>
  <xr:revisionPtr revIDLastSave="0" documentId="13_ncr:1_{04606F1D-67EB-427F-9A7F-1A0B72D777F7}" xr6:coauthVersionLast="47" xr6:coauthVersionMax="47" xr10:uidLastSave="{00000000-0000-0000-0000-000000000000}"/>
  <bookViews>
    <workbookView xWindow="-120" yWindow="-120" windowWidth="29040" windowHeight="15840" tabRatio="852" activeTab="2" xr2:uid="{00000000-000D-0000-FFFF-FFFF00000000}"/>
  </bookViews>
  <sheets>
    <sheet name="表1_schedule" sheetId="7" r:id="rId1"/>
    <sheet name="表4_Selectivity" sheetId="11" r:id="rId2"/>
    <sheet name="表5_特异性" sheetId="31" r:id="rId3"/>
    <sheet name="表6_ME" sheetId="47" r:id="rId4"/>
    <sheet name="表9_Inter QC" sheetId="15" r:id="rId5"/>
    <sheet name="表11_Recovery" sheetId="48" r:id="rId6"/>
    <sheet name="表12_IS Recov" sheetId="17" r:id="rId7"/>
    <sheet name="表13_Dilution" sheetId="18" r:id="rId8"/>
    <sheet name="表18_ST" sheetId="24" r:id="rId9"/>
    <sheet name="表19_FT" sheetId="23" r:id="rId10"/>
    <sheet name="表20_PSS" sheetId="25" r:id="rId11"/>
    <sheet name="表22_Blood" sheetId="26" r:id="rId12"/>
    <sheet name="表23_溶血效应" sheetId="30" r:id="rId13"/>
  </sheets>
  <definedNames>
    <definedName name="_xlnm.Print_Area" localSheetId="5">表11_Recovery!$A$1:$J$18</definedName>
    <definedName name="_xlnm.Print_Area" localSheetId="6">'表12_IS Recov'!$A$1:$D$31</definedName>
    <definedName name="_xlnm.Print_Area" localSheetId="9">表19_FT!$A$1:$H$37</definedName>
    <definedName name="_xlnm.Print_Area" localSheetId="12">表23_溶血效应!$A$1:$F$15</definedName>
    <definedName name="_xlnm.Print_Area" localSheetId="3">表6_ME!$A$1:$E$61</definedName>
    <definedName name="_xlnm.Print_Area" localSheetId="4">'表9_Inter QC'!$A$1:$P$64</definedName>
  </definedNames>
  <calcPr calcId="191029"/>
</workbook>
</file>

<file path=xl/calcChain.xml><?xml version="1.0" encoding="utf-8"?>
<calcChain xmlns="http://schemas.openxmlformats.org/spreadsheetml/2006/main">
  <c r="G35" i="24" l="1"/>
  <c r="F35" i="24"/>
  <c r="E35" i="24"/>
  <c r="D35" i="24"/>
  <c r="G34" i="24"/>
  <c r="F34" i="24"/>
  <c r="E34" i="24"/>
  <c r="D34" i="24"/>
  <c r="D36" i="24" s="1"/>
  <c r="H35" i="23"/>
  <c r="G35" i="23"/>
  <c r="F35" i="23"/>
  <c r="F36" i="23" s="1"/>
  <c r="E35" i="23"/>
  <c r="H34" i="23"/>
  <c r="G34" i="23"/>
  <c r="F34" i="23"/>
  <c r="E34" i="23"/>
  <c r="E35" i="25"/>
  <c r="F35" i="25"/>
  <c r="G35" i="25"/>
  <c r="D35" i="25"/>
  <c r="E34" i="25"/>
  <c r="F34" i="25"/>
  <c r="G34" i="25"/>
  <c r="F37" i="25" s="1"/>
  <c r="D34" i="25"/>
  <c r="G35" i="26"/>
  <c r="F35" i="26"/>
  <c r="E35" i="26"/>
  <c r="D35" i="26"/>
  <c r="G34" i="26"/>
  <c r="F34" i="26"/>
  <c r="E34" i="26"/>
  <c r="D34" i="26"/>
  <c r="E16" i="25"/>
  <c r="C16" i="25"/>
  <c r="E15" i="25"/>
  <c r="E18" i="25" s="1"/>
  <c r="C15" i="25"/>
  <c r="C18" i="25" s="1"/>
  <c r="F14" i="25"/>
  <c r="D14" i="25"/>
  <c r="F13" i="25"/>
  <c r="D13" i="25"/>
  <c r="F12" i="25"/>
  <c r="D12" i="25"/>
  <c r="F11" i="25"/>
  <c r="D11" i="25"/>
  <c r="F10" i="25"/>
  <c r="D10" i="25"/>
  <c r="F9" i="25"/>
  <c r="D9" i="25"/>
  <c r="J7" i="25"/>
  <c r="G37" i="23"/>
  <c r="J24" i="24"/>
  <c r="C17" i="25" l="1"/>
  <c r="E36" i="23"/>
  <c r="F36" i="26"/>
  <c r="E37" i="23"/>
  <c r="E36" i="25"/>
  <c r="G36" i="25"/>
  <c r="D37" i="25"/>
  <c r="D36" i="25"/>
  <c r="G36" i="26"/>
  <c r="F37" i="26"/>
  <c r="D37" i="26"/>
  <c r="E36" i="26"/>
  <c r="D36" i="26"/>
  <c r="E17" i="25"/>
  <c r="F36" i="25"/>
  <c r="H36" i="23"/>
  <c r="G36" i="23"/>
  <c r="F37" i="24"/>
  <c r="G36" i="24"/>
  <c r="D37" i="24"/>
  <c r="E36" i="24"/>
  <c r="F36" i="24"/>
  <c r="I13" i="48" l="1"/>
  <c r="H13" i="48"/>
  <c r="F13" i="48"/>
  <c r="E13" i="48"/>
  <c r="C13" i="48"/>
  <c r="B13" i="48"/>
  <c r="J12" i="48" l="1"/>
  <c r="J11" i="48"/>
  <c r="J10" i="48"/>
  <c r="J9" i="48"/>
  <c r="J8" i="48"/>
  <c r="J7" i="48"/>
  <c r="G12" i="48"/>
  <c r="G11" i="48"/>
  <c r="G10" i="48"/>
  <c r="G9" i="48"/>
  <c r="G8" i="48"/>
  <c r="G7" i="48"/>
  <c r="D12" i="48"/>
  <c r="D8" i="48"/>
  <c r="D9" i="48"/>
  <c r="D10" i="48"/>
  <c r="D11" i="48"/>
  <c r="D7" i="48"/>
  <c r="D14" i="48" l="1"/>
  <c r="J13" i="48"/>
  <c r="G13" i="48"/>
  <c r="D13" i="48"/>
  <c r="G14" i="48"/>
  <c r="G15" i="48" s="1"/>
  <c r="J14" i="48"/>
  <c r="J15" i="48" s="1"/>
  <c r="B16" i="48" l="1"/>
  <c r="B17" i="48" s="1"/>
  <c r="D15" i="48"/>
  <c r="D57" i="47"/>
  <c r="B57" i="47"/>
  <c r="D56" i="47"/>
  <c r="D60" i="47" s="1"/>
  <c r="B56" i="47"/>
  <c r="B60" i="47" s="1"/>
  <c r="E55" i="47"/>
  <c r="C55" i="47"/>
  <c r="E54" i="47"/>
  <c r="C54" i="47"/>
  <c r="E53" i="47"/>
  <c r="C53" i="47"/>
  <c r="D48" i="47"/>
  <c r="B48" i="47"/>
  <c r="D47" i="47"/>
  <c r="D51" i="47" s="1"/>
  <c r="B47" i="47"/>
  <c r="B51" i="47" s="1"/>
  <c r="E46" i="47"/>
  <c r="C46" i="47"/>
  <c r="E45" i="47"/>
  <c r="C45" i="47"/>
  <c r="E44" i="47"/>
  <c r="C44" i="47"/>
  <c r="D39" i="47"/>
  <c r="B39" i="47"/>
  <c r="D38" i="47"/>
  <c r="D42" i="47" s="1"/>
  <c r="B38" i="47"/>
  <c r="B42" i="47" s="1"/>
  <c r="E37" i="47"/>
  <c r="C37" i="47"/>
  <c r="E36" i="47"/>
  <c r="C36" i="47"/>
  <c r="E35" i="47"/>
  <c r="C35" i="47"/>
  <c r="D30" i="47"/>
  <c r="B30" i="47"/>
  <c r="D29" i="47"/>
  <c r="D33" i="47" s="1"/>
  <c r="B29" i="47"/>
  <c r="B33" i="47" s="1"/>
  <c r="E28" i="47"/>
  <c r="C28" i="47"/>
  <c r="E27" i="47"/>
  <c r="C27" i="47"/>
  <c r="E26" i="47"/>
  <c r="C26" i="47"/>
  <c r="D21" i="47"/>
  <c r="B21" i="47"/>
  <c r="D20" i="47"/>
  <c r="D24" i="47" s="1"/>
  <c r="B20" i="47"/>
  <c r="B24" i="47" s="1"/>
  <c r="E19" i="47"/>
  <c r="C19" i="47"/>
  <c r="E18" i="47"/>
  <c r="C18" i="47"/>
  <c r="E17" i="47"/>
  <c r="C17" i="47"/>
  <c r="D12" i="47"/>
  <c r="B12" i="47"/>
  <c r="D11" i="47"/>
  <c r="D15" i="47" s="1"/>
  <c r="B11" i="47"/>
  <c r="B15" i="47" s="1"/>
  <c r="E10" i="47"/>
  <c r="C10" i="47"/>
  <c r="E9" i="47"/>
  <c r="C9" i="47"/>
  <c r="E8" i="47"/>
  <c r="C8" i="47"/>
  <c r="D58" i="47" l="1"/>
  <c r="B31" i="47"/>
  <c r="D22" i="47"/>
  <c r="D31" i="47"/>
  <c r="B13" i="47"/>
  <c r="B49" i="47"/>
  <c r="D13" i="47"/>
  <c r="D49" i="47"/>
  <c r="B40" i="47"/>
  <c r="B22" i="47"/>
  <c r="B58" i="47"/>
  <c r="H12" i="47"/>
  <c r="I12" i="47"/>
  <c r="D40" i="47"/>
  <c r="B14" i="47"/>
  <c r="B23" i="47"/>
  <c r="B32" i="47"/>
  <c r="B41" i="47"/>
  <c r="B50" i="47"/>
  <c r="B59" i="47"/>
  <c r="D14" i="47"/>
  <c r="D23" i="47"/>
  <c r="D32" i="47"/>
  <c r="D41" i="47"/>
  <c r="D50" i="47"/>
  <c r="D59" i="47"/>
  <c r="I11" i="47" l="1"/>
  <c r="O30" i="15"/>
  <c r="O26" i="15"/>
  <c r="P25" i="15"/>
  <c r="O25" i="15"/>
  <c r="P26" i="15"/>
  <c r="P22" i="15"/>
  <c r="O22" i="15"/>
  <c r="P21" i="15"/>
  <c r="O21" i="15"/>
  <c r="P35" i="15" l="1"/>
  <c r="O35" i="15"/>
  <c r="P34" i="15"/>
  <c r="O34" i="15"/>
  <c r="P30" i="15"/>
  <c r="P31" i="15"/>
  <c r="O31" i="15"/>
  <c r="H14" i="11" l="1"/>
  <c r="E14" i="11"/>
  <c r="H8" i="11" l="1"/>
  <c r="E8" i="11"/>
  <c r="H9" i="11" l="1"/>
  <c r="H10" i="11"/>
  <c r="H11" i="11"/>
  <c r="H12" i="11"/>
  <c r="H13" i="11"/>
  <c r="E10" i="11"/>
  <c r="E11" i="11"/>
  <c r="E12" i="11"/>
  <c r="E13" i="11"/>
  <c r="E9" i="11"/>
  <c r="F15" i="31" l="1"/>
  <c r="F7" i="31"/>
  <c r="C14" i="17"/>
  <c r="B14" i="17"/>
  <c r="C13" i="17"/>
  <c r="B13" i="17"/>
  <c r="C15" i="18"/>
  <c r="C14" i="18"/>
  <c r="C17" i="18" s="1"/>
  <c r="D13" i="18"/>
  <c r="D12" i="18"/>
  <c r="D11" i="18"/>
  <c r="D10" i="18"/>
  <c r="D9" i="18"/>
  <c r="D8" i="18"/>
  <c r="E16" i="24"/>
  <c r="C16" i="24"/>
  <c r="E15" i="24"/>
  <c r="E18" i="24" s="1"/>
  <c r="C15" i="24"/>
  <c r="C18" i="24" s="1"/>
  <c r="F14" i="24"/>
  <c r="D14" i="24"/>
  <c r="F13" i="24"/>
  <c r="D13" i="24"/>
  <c r="F12" i="24"/>
  <c r="D12" i="24"/>
  <c r="F11" i="24"/>
  <c r="D11" i="24"/>
  <c r="F10" i="24"/>
  <c r="D10" i="24"/>
  <c r="F9" i="24"/>
  <c r="D9" i="24"/>
  <c r="F16" i="23"/>
  <c r="D16" i="23"/>
  <c r="F15" i="23"/>
  <c r="F18" i="23" s="1"/>
  <c r="D15" i="23"/>
  <c r="D18" i="23" s="1"/>
  <c r="G14" i="23"/>
  <c r="E14" i="23"/>
  <c r="G13" i="23"/>
  <c r="E13" i="23"/>
  <c r="G12" i="23"/>
  <c r="E12" i="23"/>
  <c r="G11" i="23"/>
  <c r="E11" i="23"/>
  <c r="G10" i="23"/>
  <c r="E10" i="23"/>
  <c r="G9" i="23"/>
  <c r="E9" i="23"/>
  <c r="P16" i="25"/>
  <c r="N16" i="25"/>
  <c r="P15" i="25"/>
  <c r="P18" i="25" s="1"/>
  <c r="N15" i="25"/>
  <c r="N18" i="25" s="1"/>
  <c r="Q14" i="25"/>
  <c r="O14" i="25"/>
  <c r="Q13" i="25"/>
  <c r="O13" i="25"/>
  <c r="Q12" i="25"/>
  <c r="O12" i="25"/>
  <c r="Q11" i="25"/>
  <c r="O11" i="25"/>
  <c r="Q10" i="25"/>
  <c r="O10" i="25"/>
  <c r="Q9" i="25"/>
  <c r="O9" i="25"/>
  <c r="G17" i="26"/>
  <c r="F17" i="26"/>
  <c r="E17" i="26"/>
  <c r="D17" i="26"/>
  <c r="G16" i="26"/>
  <c r="F16" i="26"/>
  <c r="E16" i="26"/>
  <c r="D16" i="26"/>
  <c r="E12" i="30"/>
  <c r="C12" i="30"/>
  <c r="E11" i="30"/>
  <c r="E14" i="30" s="1"/>
  <c r="C11" i="30"/>
  <c r="C14" i="30" s="1"/>
  <c r="D18" i="26" l="1"/>
  <c r="G18" i="26"/>
  <c r="P17" i="25"/>
  <c r="F17" i="23"/>
  <c r="E17" i="24"/>
  <c r="F19" i="26"/>
  <c r="N17" i="25"/>
  <c r="D17" i="23"/>
  <c r="C17" i="24"/>
  <c r="D12" i="17"/>
  <c r="D7" i="17"/>
  <c r="E13" i="30"/>
  <c r="D8" i="17"/>
  <c r="C15" i="17"/>
  <c r="D9" i="17"/>
  <c r="E18" i="26"/>
  <c r="D10" i="17"/>
  <c r="D11" i="17"/>
  <c r="D19" i="26"/>
  <c r="C13" i="30"/>
  <c r="F18" i="26"/>
  <c r="B15" i="17"/>
  <c r="C16" i="18"/>
  <c r="D13" i="17" l="1"/>
  <c r="D14" i="17"/>
  <c r="D15" i="17" s="1"/>
  <c r="J6" i="24"/>
  <c r="U7" i="25" l="1"/>
  <c r="J26" i="25" l="1"/>
  <c r="D19" i="17" l="1"/>
  <c r="D20" i="17"/>
  <c r="D21" i="17"/>
  <c r="D22" i="17"/>
  <c r="D23" i="17"/>
  <c r="D24" i="17"/>
  <c r="D26" i="17"/>
  <c r="D27" i="17"/>
  <c r="D28" i="17"/>
  <c r="D29" i="17"/>
  <c r="D30" i="17"/>
  <c r="D25" i="17"/>
  <c r="F9" i="30" l="1"/>
  <c r="F10" i="30"/>
  <c r="F8" i="30"/>
  <c r="D9" i="30"/>
  <c r="D10" i="30"/>
  <c r="D8" i="30"/>
</calcChain>
</file>

<file path=xl/sharedStrings.xml><?xml version="1.0" encoding="utf-8"?>
<sst xmlns="http://schemas.openxmlformats.org/spreadsheetml/2006/main" count="512" uniqueCount="218">
  <si>
    <t>LLOQ</t>
  </si>
  <si>
    <t>HQC</t>
  </si>
  <si>
    <t>MQC</t>
  </si>
  <si>
    <t>LQC</t>
  </si>
  <si>
    <t>SD</t>
  </si>
  <si>
    <t>n</t>
  </si>
  <si>
    <t>ng/mL</t>
  </si>
  <si>
    <t xml:space="preserve"> LQC</t>
  </si>
  <si>
    <t>0</t>
  </si>
  <si>
    <r>
      <t xml:space="preserve"> </t>
    </r>
    <r>
      <rPr>
        <sz val="10.5"/>
        <rFont val="宋体"/>
        <family val="3"/>
        <charset val="134"/>
      </rPr>
      <t>样品名称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</si>
  <si>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</si>
  <si>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</si>
  <si>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</si>
  <si>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</si>
  <si>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</si>
  <si>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</si>
  <si>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</si>
  <si>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r>
      <rPr>
        <sz val="10.5"/>
        <rFont val="宋体"/>
        <family val="3"/>
        <charset val="134"/>
      </rPr>
      <t>平均值</t>
    </r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</si>
  <si>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</si>
  <si>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</si>
  <si>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r>
      <t>T</t>
    </r>
    <r>
      <rPr>
        <vertAlign val="subscript"/>
        <sz val="10.5"/>
        <rFont val="Times New Roman"/>
        <family val="1"/>
      </rPr>
      <t>x</t>
    </r>
    <phoneticPr fontId="4" type="noConversion"/>
  </si>
  <si>
    <t>ng/mL</t>
    <phoneticPr fontId="4" type="noConversion"/>
  </si>
  <si>
    <r>
      <rPr>
        <sz val="10.5"/>
        <color theme="1"/>
        <rFont val="宋体"/>
        <family val="3"/>
        <charset val="134"/>
      </rPr>
      <t>检测日期</t>
    </r>
    <phoneticPr fontId="4" type="noConversion"/>
  </si>
  <si>
    <r>
      <rPr>
        <sz val="10.5"/>
        <rFont val="宋体"/>
        <family val="3"/>
        <charset val="134"/>
      </rPr>
      <t>浓度</t>
    </r>
    <phoneticPr fontId="4" type="noConversion"/>
  </si>
  <si>
    <r>
      <rPr>
        <sz val="10.5"/>
        <rFont val="宋体"/>
        <family val="3"/>
        <charset val="134"/>
      </rPr>
      <t>待测物与内标的峰面积比</t>
    </r>
    <phoneticPr fontId="4" type="noConversion"/>
  </si>
  <si>
    <r>
      <rPr>
        <sz val="10.5"/>
        <rFont val="宋体"/>
        <family val="3"/>
        <charset val="134"/>
      </rPr>
      <t>检测日期</t>
    </r>
    <phoneticPr fontId="4" type="noConversion"/>
  </si>
  <si>
    <t>放置时间：</t>
  </si>
  <si>
    <t>表23：溶血效应</t>
  </si>
  <si>
    <t>表20：处理后样品的稳定性</t>
  </si>
  <si>
    <t>表19：冻融稳定性</t>
  </si>
  <si>
    <t xml:space="preserve">表18：生物样品前处理过程中的短期稳定性 </t>
  </si>
  <si>
    <t>表13：稀释可靠性</t>
  </si>
  <si>
    <t>表12：内标回收率：以内标与提取待测物的峰面积比计</t>
  </si>
  <si>
    <t>表9：批内/批间样品检测的精密度和准确度</t>
  </si>
  <si>
    <t>表4：选择性考察</t>
  </si>
  <si>
    <t>准确度偏差 (%)</t>
  </si>
  <si>
    <t>批内CV (%)</t>
  </si>
  <si>
    <t>批内准确度偏差 (%)</t>
  </si>
  <si>
    <t>批间CV (%)</t>
  </si>
  <si>
    <t>批间准确度偏差 (%)</t>
  </si>
  <si>
    <t>干扰 (%）</t>
  </si>
  <si>
    <t>CV（%）</t>
  </si>
  <si>
    <t>准确度（%）</t>
  </si>
  <si>
    <t>差异（%）</t>
  </si>
  <si>
    <t>准确度偏差（%）</t>
  </si>
  <si>
    <t>提取回收率（%）</t>
  </si>
  <si>
    <t>批内CV（%）</t>
  </si>
  <si>
    <t>批内准确度偏差（%）</t>
  </si>
  <si>
    <r>
      <rPr>
        <sz val="10.5"/>
        <rFont val="宋体"/>
        <family val="3"/>
        <charset val="134"/>
      </rPr>
      <t>待测物响应值</t>
    </r>
    <phoneticPr fontId="4" type="noConversion"/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</si>
  <si>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</si>
  <si>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</si>
  <si>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该样品第一针进样时间：</t>
    </r>
  </si>
  <si>
    <r>
      <rPr>
        <sz val="10.5"/>
        <rFont val="宋体"/>
        <family val="3"/>
        <charset val="134"/>
      </rPr>
      <t>样品放置开始时间：</t>
    </r>
  </si>
  <si>
    <r>
      <rPr>
        <sz val="10.5"/>
        <color theme="1"/>
        <rFont val="宋体"/>
        <family val="3"/>
        <charset val="134"/>
      </rPr>
      <t>样品放置结束时间：</t>
    </r>
  </si>
  <si>
    <r>
      <rPr>
        <sz val="10.5"/>
        <rFont val="宋体"/>
        <family val="3"/>
        <charset val="134"/>
      </rPr>
      <t>提取日期</t>
    </r>
    <phoneticPr fontId="4" type="noConversion"/>
  </si>
  <si>
    <r>
      <rPr>
        <sz val="10.5"/>
        <rFont val="宋体"/>
        <family val="3"/>
        <charset val="134"/>
      </rPr>
      <t>设备编号</t>
    </r>
    <phoneticPr fontId="4" type="noConversion"/>
  </si>
  <si>
    <r>
      <rPr>
        <sz val="10.5"/>
        <rFont val="宋体"/>
        <family val="3"/>
        <charset val="134"/>
      </rPr>
      <t>备注：</t>
    </r>
  </si>
  <si>
    <t>Max</t>
    <phoneticPr fontId="4" type="noConversion"/>
  </si>
  <si>
    <t>Min</t>
    <phoneticPr fontId="4" type="noConversion"/>
  </si>
  <si>
    <t>%Bias</t>
    <phoneticPr fontId="4" type="noConversion"/>
  </si>
  <si>
    <t>%CV</t>
    <phoneticPr fontId="4" type="noConversion"/>
  </si>
  <si>
    <t>LLOQ</t>
    <phoneticPr fontId="4" type="noConversion"/>
  </si>
  <si>
    <t>GMQC</t>
    <phoneticPr fontId="4" type="noConversion"/>
  </si>
  <si>
    <t>MQC</t>
    <phoneticPr fontId="4" type="noConversion"/>
  </si>
  <si>
    <r>
      <rPr>
        <sz val="10.5"/>
        <rFont val="宋体"/>
        <family val="3"/>
        <charset val="134"/>
      </rPr>
      <t>生物基质批号</t>
    </r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</si>
  <si>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</si>
  <si>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</si>
  <si>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</si>
  <si>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表6：基质效应试验</t>
    <phoneticPr fontId="4" type="noConversion"/>
  </si>
  <si>
    <t>ng/mL</t>
    <phoneticPr fontId="18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</si>
  <si>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1</t>
    </r>
    <phoneticPr fontId="4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</si>
  <si>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2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</si>
  <si>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3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</si>
  <si>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4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</si>
  <si>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5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</si>
  <si>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6</t>
    </r>
    <r>
      <rPr>
        <sz val="11"/>
        <color theme="1"/>
        <rFont val="DengXian"/>
        <family val="2"/>
        <charset val="134"/>
        <scheme val="minor"/>
      </rPr>
      <t/>
    </r>
  </si>
  <si>
    <t>溶血</t>
    <phoneticPr fontId="4" type="noConversion"/>
  </si>
  <si>
    <t>NA</t>
    <phoneticPr fontId="4" type="noConversion"/>
  </si>
  <si>
    <t>Min</t>
    <phoneticPr fontId="18" type="noConversion"/>
  </si>
  <si>
    <t>Max</t>
    <phoneticPr fontId="18" type="noConversion"/>
  </si>
  <si>
    <t xml:space="preserve"> </t>
    <phoneticPr fontId="4" type="noConversion"/>
  </si>
  <si>
    <r>
      <rPr>
        <sz val="10.5"/>
        <rFont val="宋体"/>
        <family val="3"/>
        <charset val="134"/>
      </rPr>
      <t>未提取的峰面积比</t>
    </r>
  </si>
  <si>
    <r>
      <rPr>
        <sz val="10.5"/>
        <rFont val="宋体"/>
        <family val="3"/>
        <charset val="134"/>
      </rPr>
      <t>提取后峰面积比</t>
    </r>
  </si>
  <si>
    <t>表11：待测物提取回收率：以待测物与内标的峰面积比计</t>
    <phoneticPr fontId="4" type="noConversion"/>
  </si>
  <si>
    <t>提取后峰面积比</t>
    <phoneticPr fontId="18" type="noConversion"/>
  </si>
  <si>
    <t>RESS24225</t>
  </si>
  <si>
    <t>RESS24225 选择性</t>
  </si>
  <si>
    <t>符合接受标准的定量下限RESS24225峰面积（均）值</t>
  </si>
  <si>
    <t>EQ202170</t>
    <phoneticPr fontId="4" type="noConversion"/>
  </si>
  <si>
    <t>#0.143</t>
  </si>
  <si>
    <t>#0.267</t>
  </si>
  <si>
    <t>##88.127</t>
  </si>
  <si>
    <t>#0.281</t>
  </si>
  <si>
    <t>##0.729</t>
  </si>
  <si>
    <t>##5.795</t>
  </si>
  <si>
    <t>#0.300</t>
  </si>
  <si>
    <t>##0.809</t>
  </si>
  <si>
    <t>##5.758</t>
  </si>
  <si>
    <t>##90.021</t>
  </si>
  <si>
    <t>#0.290</t>
  </si>
  <si>
    <t>##0.790</t>
  </si>
  <si>
    <t>##5.984</t>
  </si>
  <si>
    <t>##94.341</t>
  </si>
  <si>
    <r>
      <rPr>
        <sz val="10.5"/>
        <rFont val="宋体"/>
        <family val="3"/>
        <charset val="134"/>
      </rPr>
      <t>批内均值</t>
    </r>
    <phoneticPr fontId="4" type="noConversion"/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</si>
  <si>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</si>
  <si>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平均实测浓度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</si>
  <si>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SD</t>
    </r>
  </si>
  <si>
    <r>
      <t>#</t>
    </r>
    <r>
      <rPr>
        <sz val="10.5"/>
        <rFont val="宋体"/>
        <family val="3"/>
        <charset val="134"/>
      </rPr>
      <t>表示不符合接受标准，仍参与统计计算</t>
    </r>
    <phoneticPr fontId="18" type="noConversion"/>
  </si>
  <si>
    <r>
      <rPr>
        <sz val="10.5"/>
        <rFont val="宋体"/>
        <family val="3"/>
        <charset val="134"/>
      </rPr>
      <t>注：拒绝原因见表</t>
    </r>
    <r>
      <rPr>
        <sz val="10.5"/>
        <rFont val="Times New Roman"/>
        <family val="1"/>
      </rPr>
      <t>1</t>
    </r>
    <phoneticPr fontId="4" type="noConversion"/>
  </si>
  <si>
    <r>
      <rPr>
        <sz val="10.5"/>
        <rFont val="宋体"/>
        <family val="3"/>
        <charset val="134"/>
      </rPr>
      <t>是</t>
    </r>
    <phoneticPr fontId="4" type="noConversion"/>
  </si>
  <si>
    <r>
      <rPr>
        <sz val="10.5"/>
        <rFont val="宋体"/>
        <family val="3"/>
        <charset val="134"/>
      </rPr>
      <t>系统适用性，全血稳定性</t>
    </r>
    <phoneticPr fontId="4" type="noConversion"/>
  </si>
  <si>
    <r>
      <rPr>
        <sz val="10.5"/>
        <rFont val="宋体"/>
        <family val="3"/>
        <charset val="134"/>
      </rPr>
      <t>系统适用性，标准曲线及范围，第一批批内准确度和精密度，特异性，稳定性</t>
    </r>
    <r>
      <rPr>
        <sz val="10.5"/>
        <rFont val="Times New Roman"/>
        <family val="1"/>
      </rPr>
      <t>T</t>
    </r>
    <r>
      <rPr>
        <vertAlign val="subscript"/>
        <sz val="10.5"/>
        <rFont val="Times New Roman"/>
        <family val="1"/>
      </rPr>
      <t>0</t>
    </r>
    <r>
      <rPr>
        <sz val="10.5"/>
        <rFont val="宋体"/>
        <family val="3"/>
        <charset val="134"/>
      </rPr>
      <t>，稀释可靠性，残留评价</t>
    </r>
    <phoneticPr fontId="4" type="noConversion"/>
  </si>
  <si>
    <r>
      <rPr>
        <sz val="10.5"/>
        <rFont val="宋体"/>
        <family val="3"/>
        <charset val="134"/>
      </rPr>
      <t>否</t>
    </r>
    <r>
      <rPr>
        <vertAlign val="superscript"/>
        <sz val="10.5"/>
        <rFont val="Times New Roman"/>
        <family val="1"/>
      </rPr>
      <t>1</t>
    </r>
    <phoneticPr fontId="4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</si>
  <si>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3</t>
    </r>
    <phoneticPr fontId="4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</si>
  <si>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：批量样品检测情况列表</t>
    </r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</si>
  <si>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RESS24225</t>
    </r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</si>
  <si>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2024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08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27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个分析批中制备。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</si>
  <si>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：本分析批无标曲质控样品</t>
    </r>
    <phoneticPr fontId="4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</si>
  <si>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4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</si>
  <si>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：仅</t>
    </r>
    <r>
      <rPr>
        <sz val="10.5"/>
        <rFont val="Times New Roman"/>
        <family val="3"/>
      </rPr>
      <t>RESS23225</t>
    </r>
    <r>
      <rPr>
        <sz val="10.5"/>
        <rFont val="宋体"/>
        <family val="3"/>
        <charset val="134"/>
      </rPr>
      <t>质控样品的处理后样品稳定性结果不满足接受标准，缩短放置时间，重新考察</t>
    </r>
    <phoneticPr fontId="4" type="noConversion"/>
  </si>
  <si>
    <r>
      <rPr>
        <sz val="10.5"/>
        <rFont val="宋体"/>
        <family val="1"/>
        <charset val="134"/>
      </rPr>
      <t>检测</t>
    </r>
    <r>
      <rPr>
        <sz val="10.5"/>
        <rFont val="Yu Gothic"/>
        <family val="2"/>
        <charset val="128"/>
      </rPr>
      <t>批次</t>
    </r>
    <r>
      <rPr>
        <sz val="10.5"/>
        <rFont val="Times New Roman"/>
        <family val="1"/>
      </rPr>
      <t>编</t>
    </r>
    <r>
      <rPr>
        <sz val="10.5"/>
        <rFont val="Yu Gothic"/>
        <family val="2"/>
        <charset val="128"/>
      </rPr>
      <t>号：</t>
    </r>
    <r>
      <rPr>
        <sz val="10.5"/>
        <rFont val="Times New Roman"/>
        <family val="1"/>
      </rPr>
      <t>5</t>
    </r>
    <phoneticPr fontId="4" type="noConversion"/>
  </si>
  <si>
    <r>
      <rPr>
        <sz val="10.5"/>
        <rFont val="宋体"/>
        <family val="3"/>
        <charset val="134"/>
      </rPr>
      <t>符合接受标准的标曲样品定量下限内标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的平均峰面积值</t>
    </r>
    <phoneticPr fontId="4" type="noConversion"/>
  </si>
  <si>
    <r>
      <rPr>
        <sz val="10.5"/>
        <rFont val="宋体"/>
        <family val="3"/>
        <charset val="134"/>
      </rPr>
      <t>内标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保留时间处的峰面积</t>
    </r>
    <phoneticPr fontId="4" type="noConversion"/>
  </si>
  <si>
    <r>
      <rPr>
        <sz val="10.5"/>
        <rFont val="宋体"/>
        <family val="3"/>
        <charset val="134"/>
      </rPr>
      <t>符合接受标准的标曲样品定量下限的内标</t>
    </r>
    <r>
      <rPr>
        <sz val="10.5"/>
        <rFont val="Times New Roman"/>
        <family val="1"/>
      </rPr>
      <t>ISSS24225</t>
    </r>
    <r>
      <rPr>
        <sz val="10.5"/>
        <rFont val="宋体"/>
        <family val="3"/>
        <charset val="134"/>
      </rPr>
      <t>的峰面积（均）值</t>
    </r>
    <phoneticPr fontId="4" type="noConversion"/>
  </si>
  <si>
    <r>
      <rPr>
        <sz val="10.5"/>
        <rFont val="宋体"/>
        <family val="3"/>
        <charset val="134"/>
      </rPr>
      <t>仅含特定浓度的内标</t>
    </r>
    <r>
      <rPr>
        <sz val="10.5"/>
        <rFont val="Times New Roman"/>
        <family val="1"/>
      </rPr>
      <t>ISSS24225 1</t>
    </r>
    <phoneticPr fontId="4" type="noConversion"/>
  </si>
  <si>
    <r>
      <rPr>
        <sz val="10.5"/>
        <rFont val="宋体"/>
        <family val="3"/>
        <charset val="134"/>
      </rPr>
      <t>仅含特定浓度的内标</t>
    </r>
    <r>
      <rPr>
        <sz val="10.5"/>
        <rFont val="Times New Roman"/>
        <family val="1"/>
      </rPr>
      <t>ISSS24225 2</t>
    </r>
    <r>
      <rPr>
        <sz val="11"/>
        <color theme="1"/>
        <rFont val="DengXian"/>
        <family val="2"/>
        <scheme val="minor"/>
      </rPr>
      <t/>
    </r>
  </si>
  <si>
    <r>
      <rPr>
        <sz val="10.5"/>
        <rFont val="宋体"/>
        <family val="3"/>
        <charset val="134"/>
      </rPr>
      <t>仅含特定浓度的内标</t>
    </r>
    <r>
      <rPr>
        <sz val="10.5"/>
        <rFont val="Times New Roman"/>
        <family val="1"/>
      </rPr>
      <t>ISSS24225 3</t>
    </r>
    <r>
      <rPr>
        <sz val="11"/>
        <color theme="1"/>
        <rFont val="DengXian"/>
        <family val="2"/>
        <scheme val="minor"/>
      </rPr>
      <t/>
    </r>
  </si>
  <si>
    <t>KN-BM-24-442 12</t>
    <phoneticPr fontId="4" type="noConversion"/>
  </si>
  <si>
    <t>KN-BM-24-442 13</t>
  </si>
  <si>
    <t>KN-BM-24-442 14</t>
  </si>
  <si>
    <t>KN-BM-24-444 1</t>
    <phoneticPr fontId="4" type="noConversion"/>
  </si>
  <si>
    <t>KN-BM-24-444 2</t>
  </si>
  <si>
    <t>KN-BM-24-444 3</t>
  </si>
  <si>
    <t>KN-BM-24-442 12</t>
    <phoneticPr fontId="18" type="noConversion"/>
  </si>
  <si>
    <t>KN-BM-24-442 13</t>
    <phoneticPr fontId="18" type="noConversion"/>
  </si>
  <si>
    <t>KN-BM-24-442 14</t>
    <phoneticPr fontId="18" type="noConversion"/>
  </si>
  <si>
    <t>KN-BM-24-444 1</t>
    <phoneticPr fontId="18" type="noConversion"/>
  </si>
  <si>
    <t>KN-BM-24-444 2</t>
    <phoneticPr fontId="18" type="noConversion"/>
  </si>
  <si>
    <t>KN-BM-24-444 3</t>
    <phoneticPr fontId="18" type="noConversion"/>
  </si>
  <si>
    <r>
      <rPr>
        <sz val="10.5"/>
        <color theme="1"/>
        <rFont val="宋体"/>
        <family val="3"/>
        <charset val="134"/>
      </rPr>
      <t>检测批次编号：</t>
    </r>
    <r>
      <rPr>
        <sz val="10.5"/>
        <color theme="1"/>
        <rFont val="Times New Roman"/>
        <family val="1"/>
      </rPr>
      <t>5</t>
    </r>
    <phoneticPr fontId="18" type="noConversion"/>
  </si>
  <si>
    <r>
      <rPr>
        <sz val="10.5"/>
        <color theme="1"/>
        <rFont val="宋体"/>
        <family val="3"/>
        <charset val="134"/>
      </rPr>
      <t>检测日期：</t>
    </r>
    <r>
      <rPr>
        <sz val="10.5"/>
        <color theme="1"/>
        <rFont val="Times New Roman"/>
        <family val="1"/>
      </rPr>
      <t>2024/09/01</t>
    </r>
    <phoneticPr fontId="18" type="noConversion"/>
  </si>
  <si>
    <r>
      <rPr>
        <sz val="10.5"/>
        <rFont val="宋体"/>
        <family val="3"/>
        <charset val="134"/>
      </rPr>
      <t>提取后峰面积比</t>
    </r>
    <phoneticPr fontId="44" type="noConversion"/>
  </si>
  <si>
    <r>
      <rPr>
        <sz val="10.5"/>
        <rFont val="宋体"/>
        <family val="3"/>
        <charset val="134"/>
      </rPr>
      <t>未提取的峰面积比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</si>
  <si>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平均值</t>
    </r>
    <phoneticPr fontId="44" type="noConversion"/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</si>
  <si>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</si>
  <si>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18" type="noConversion"/>
  </si>
  <si>
    <t>SS24225BV01 Unextracted Mid 1</t>
  </si>
  <si>
    <t>SS24225BV01 Unextracted Mid 2</t>
  </si>
  <si>
    <t>SS24225BV01 Unextracted Mid 3</t>
  </si>
  <si>
    <t>SS24225BV01 Unextracted Mid 4</t>
  </si>
  <si>
    <t>SS24225BV01 Unextracted Mid 5</t>
  </si>
  <si>
    <t>SS24225BV01 Unextracted Mid 6</t>
  </si>
  <si>
    <t>SS24225BV01 Extracted IS 1</t>
  </si>
  <si>
    <t>SS24225BV01 Extracted IS 2</t>
  </si>
  <si>
    <t>SS24225BV01 Extracted IS 3</t>
  </si>
  <si>
    <t>SS24225BV01 Extracted IS 4</t>
  </si>
  <si>
    <t>SS24225BV01 Extracted IS 5</t>
  </si>
  <si>
    <t>SS24225BV01 Extracted IS 6</t>
  </si>
  <si>
    <r>
      <rPr>
        <sz val="10.5"/>
        <rFont val="宋体"/>
        <family val="3"/>
        <charset val="134"/>
      </rPr>
      <t>工作液浓度：</t>
    </r>
    <r>
      <rPr>
        <sz val="10.5"/>
        <rFont val="Times New Roman"/>
        <family val="1"/>
      </rPr>
      <t>3.000 ng/mL</t>
    </r>
    <phoneticPr fontId="4" type="noConversion"/>
  </si>
  <si>
    <r>
      <rPr>
        <sz val="10.5"/>
        <rFont val="宋体"/>
        <family val="3"/>
        <charset val="134"/>
      </rPr>
      <t>提取后内标峰面积比</t>
    </r>
  </si>
  <si>
    <r>
      <rPr>
        <sz val="10.5"/>
        <rFont val="宋体"/>
        <family val="3"/>
        <charset val="134"/>
      </rPr>
      <t>未提取内标峰面积比</t>
    </r>
  </si>
  <si>
    <r>
      <rPr>
        <sz val="10.5"/>
        <rFont val="宋体"/>
        <family val="3"/>
        <charset val="134"/>
      </rPr>
      <t>平均值</t>
    </r>
    <phoneticPr fontId="4" type="noConversion"/>
  </si>
  <si>
    <r>
      <rPr>
        <sz val="10.5"/>
        <rFont val="宋体"/>
        <family val="3"/>
        <charset val="134"/>
      </rPr>
      <t>内标峰面积</t>
    </r>
    <phoneticPr fontId="4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</si>
  <si>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4" type="noConversion"/>
  </si>
  <si>
    <r>
      <t>DQC(</t>
    </r>
    <r>
      <rPr>
        <sz val="10.5"/>
        <rFont val="Yu Gothic"/>
        <family val="2"/>
        <charset val="128"/>
      </rPr>
      <t>稀</t>
    </r>
    <r>
      <rPr>
        <sz val="10.5"/>
        <rFont val="宋体"/>
        <family val="1"/>
        <charset val="134"/>
      </rPr>
      <t>释</t>
    </r>
    <r>
      <rPr>
        <sz val="10.5"/>
        <rFont val="Yu Gothic"/>
        <family val="2"/>
        <charset val="128"/>
      </rPr>
      <t>倍数</t>
    </r>
    <r>
      <rPr>
        <sz val="10.5"/>
        <rFont val="Times New Roman"/>
        <family val="1"/>
      </rPr>
      <t>20</t>
    </r>
    <r>
      <rPr>
        <sz val="10.5"/>
        <rFont val="Yu Gothic"/>
        <family val="2"/>
        <charset val="128"/>
      </rPr>
      <t>倍）</t>
    </r>
    <phoneticPr fontId="4" type="noConversion"/>
  </si>
  <si>
    <r>
      <rPr>
        <sz val="10.5"/>
        <rFont val="宋体"/>
        <family val="3"/>
        <charset val="134"/>
      </rPr>
      <t>试验条件：在冰浴黄光下放置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小时的短期稳定性</t>
    </r>
    <phoneticPr fontId="4" type="noConversion"/>
  </si>
  <si>
    <r>
      <rPr>
        <sz val="10.5"/>
        <rFont val="宋体"/>
        <family val="3"/>
        <charset val="134"/>
      </rPr>
      <t>样品放置结束时间：</t>
    </r>
  </si>
  <si>
    <t>LQC</t>
    <phoneticPr fontId="4" type="noConversion"/>
  </si>
  <si>
    <t>HQC</t>
    <phoneticPr fontId="4" type="noConversion"/>
  </si>
  <si>
    <r>
      <t>RESS24225</t>
    </r>
    <r>
      <rPr>
        <sz val="10.5"/>
        <rFont val="宋体"/>
        <family val="1"/>
        <charset val="134"/>
      </rPr>
      <t>（</t>
    </r>
    <r>
      <rPr>
        <sz val="10.5"/>
        <rFont val="Times New Roman"/>
        <family val="1"/>
      </rPr>
      <t>RESS24225-B</t>
    </r>
    <r>
      <rPr>
        <sz val="10.5"/>
        <rFont val="宋体"/>
        <family val="1"/>
        <charset val="134"/>
      </rPr>
      <t>存在下）</t>
    </r>
    <phoneticPr fontId="4" type="noConversion"/>
  </si>
  <si>
    <r>
      <t>RESS24225-B</t>
    </r>
    <r>
      <rPr>
        <sz val="10.5"/>
        <rFont val="宋体"/>
        <family val="3"/>
        <charset val="134"/>
      </rPr>
      <t>浓度：</t>
    </r>
    <r>
      <rPr>
        <sz val="10.5"/>
        <rFont val="Times New Roman"/>
        <family val="1"/>
      </rPr>
      <t>3000.000 μg/mL</t>
    </r>
    <phoneticPr fontId="4" type="noConversion"/>
  </si>
  <si>
    <t>0.600 
ng/mL</t>
    <phoneticPr fontId="4" type="noConversion"/>
  </si>
  <si>
    <t>75.000 
ng/mL</t>
    <phoneticPr fontId="4" type="noConversion"/>
  </si>
  <si>
    <r>
      <rPr>
        <sz val="10.5"/>
        <rFont val="宋体"/>
        <family val="3"/>
        <charset val="134"/>
      </rPr>
      <t>浓度（</t>
    </r>
    <r>
      <rPr>
        <sz val="10.5"/>
        <rFont val="Times New Roman"/>
        <family val="3"/>
      </rPr>
      <t>n</t>
    </r>
    <r>
      <rPr>
        <sz val="10.5"/>
        <rFont val="Times New Roman"/>
        <family val="1"/>
      </rPr>
      <t>g/mL</t>
    </r>
    <r>
      <rPr>
        <sz val="10.5"/>
        <rFont val="宋体"/>
        <family val="3"/>
        <charset val="134"/>
      </rPr>
      <t>）</t>
    </r>
    <phoneticPr fontId="4" type="noConversion"/>
  </si>
  <si>
    <r>
      <t>2024/08/28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2024/08/30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4" type="noConversion"/>
  </si>
  <si>
    <r>
      <t>1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3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4" type="noConversion"/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</si>
  <si>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小时，在冰浴黄光条件下融化。</t>
    </r>
    <phoneticPr fontId="4" type="noConversion"/>
  </si>
  <si>
    <r>
      <rPr>
        <sz val="10.5"/>
        <rFont val="宋体"/>
        <family val="3"/>
        <charset val="134"/>
      </rPr>
      <t>冻融循环次数</t>
    </r>
  </si>
  <si>
    <r>
      <t>4</t>
    </r>
    <r>
      <rPr>
        <sz val="10.5"/>
        <rFont val="宋体"/>
        <family val="3"/>
        <charset val="134"/>
      </rPr>
      <t>次</t>
    </r>
    <phoneticPr fontId="4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</si>
  <si>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80</t>
    </r>
    <r>
      <rPr>
        <sz val="10.5"/>
        <rFont val="宋体"/>
        <family val="3"/>
        <charset val="134"/>
      </rPr>
      <t>小时的稳定性</t>
    </r>
    <phoneticPr fontId="4" type="noConversion"/>
  </si>
  <si>
    <r>
      <t>RESS24225</t>
    </r>
    <r>
      <rPr>
        <sz val="10.5"/>
        <rFont val="宋体"/>
        <family val="1"/>
        <charset val="134"/>
      </rPr>
      <t>（失败）</t>
    </r>
    <phoneticPr fontId="4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</si>
  <si>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22</t>
    </r>
    <r>
      <rPr>
        <sz val="10.5"/>
        <color theme="1"/>
        <rFont val="宋体"/>
        <family val="3"/>
        <charset val="134"/>
      </rPr>
      <t>：全血稳定性</t>
    </r>
  </si>
  <si>
    <r>
      <t>CV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</si>
  <si>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差异（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</si>
  <si>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试验条件：全血样品在冰浴黄光下放置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小时后离心，离心后不立即移取血浆，将离心后的样品于冰浴黄光放置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分钟后的稳定性</t>
    </r>
    <phoneticPr fontId="4" type="noConversion"/>
  </si>
  <si>
    <t>RESS24225</t>
    <phoneticPr fontId="4" type="noConversion"/>
  </si>
  <si>
    <r>
      <rPr>
        <sz val="10.5"/>
        <rFont val="宋体"/>
        <family val="3"/>
        <charset val="134"/>
      </rPr>
      <t>系统适用性，标准曲线及范围，处理后样品稳定性</t>
    </r>
    <r>
      <rPr>
        <vertAlign val="superscript"/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（仅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），残留评价</t>
    </r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</si>
  <si>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2024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09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01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个分析批中制备。</t>
    </r>
    <phoneticPr fontId="4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</si>
  <si>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81</t>
    </r>
    <r>
      <rPr>
        <sz val="10.5"/>
        <rFont val="宋体"/>
        <family val="3"/>
        <charset val="134"/>
      </rPr>
      <t>小时的稳定性</t>
    </r>
    <phoneticPr fontId="4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</si>
  <si>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76</t>
    </r>
    <r>
      <rPr>
        <sz val="10.5"/>
        <rFont val="宋体"/>
        <family val="3"/>
        <charset val="134"/>
      </rPr>
      <t>小时的稳定性</t>
    </r>
    <phoneticPr fontId="4" type="noConversion"/>
  </si>
  <si>
    <r>
      <t xml:space="preserve"> </t>
    </r>
    <r>
      <rPr>
        <sz val="10.5"/>
        <rFont val="宋体"/>
        <family val="3"/>
        <charset val="134"/>
      </rPr>
      <t>检测批次编号</t>
    </r>
    <phoneticPr fontId="4" type="noConversion"/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</si>
  <si>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对内标的干扰</t>
    </r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</si>
  <si>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ISSS24225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4" type="noConversion"/>
  </si>
  <si>
    <r>
      <rPr>
        <sz val="10.5"/>
        <rFont val="宋体"/>
        <family val="3"/>
        <charset val="134"/>
      </rPr>
      <t>含定量上限浓度的</t>
    </r>
    <r>
      <rPr>
        <sz val="10.5"/>
        <rFont val="Times New Roman"/>
        <family val="1"/>
      </rPr>
      <t>RESS24225 1</t>
    </r>
  </si>
  <si>
    <r>
      <rPr>
        <sz val="10.5"/>
        <rFont val="宋体"/>
        <family val="3"/>
        <charset val="134"/>
      </rPr>
      <t>含定量上限浓度的</t>
    </r>
    <r>
      <rPr>
        <sz val="10.5"/>
        <rFont val="Times New Roman"/>
        <family val="1"/>
      </rPr>
      <t>RESS24225 2</t>
    </r>
  </si>
  <si>
    <r>
      <rPr>
        <sz val="10.5"/>
        <rFont val="宋体"/>
        <family val="3"/>
        <charset val="134"/>
      </rPr>
      <t>含定量上限浓度的</t>
    </r>
    <r>
      <rPr>
        <sz val="10.5"/>
        <rFont val="Times New Roman"/>
        <family val="1"/>
      </rPr>
      <t>RESS24225 3</t>
    </r>
  </si>
  <si>
    <r>
      <rPr>
        <sz val="10.5"/>
        <rFont val="宋体"/>
        <family val="3"/>
        <charset val="134"/>
      </rPr>
      <t>内标对待测物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的干扰</t>
    </r>
  </si>
  <si>
    <r>
      <rPr>
        <sz val="10.5"/>
        <rFont val="宋体"/>
        <family val="3"/>
        <charset val="134"/>
      </rPr>
      <t>待测物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保留时间处的峰面积</t>
    </r>
  </si>
  <si>
    <r>
      <rPr>
        <sz val="10.5"/>
        <rFont val="宋体"/>
        <family val="3"/>
        <charset val="134"/>
      </rPr>
      <t>符合接受标准的标曲样品定量下限</t>
    </r>
    <r>
      <rPr>
        <sz val="10.5"/>
        <rFont val="Times New Roman"/>
        <family val="1"/>
      </rPr>
      <t>RESS24225</t>
    </r>
    <r>
      <rPr>
        <sz val="10.5"/>
        <rFont val="宋体"/>
        <family val="3"/>
        <charset val="134"/>
      </rPr>
      <t>峰面积（均）值</t>
    </r>
  </si>
  <si>
    <r>
      <rPr>
        <sz val="10.5"/>
        <rFont val="宋体"/>
        <family val="3"/>
        <charset val="134"/>
      </rPr>
      <t>干扰占</t>
    </r>
    <r>
      <rPr>
        <sz val="10.5"/>
        <rFont val="Times New Roman"/>
        <family val="1"/>
      </rPr>
      <t xml:space="preserve">RESS24225
</t>
    </r>
    <r>
      <rPr>
        <sz val="10.5"/>
        <rFont val="宋体"/>
        <family val="3"/>
        <charset val="134"/>
      </rPr>
      <t>的百分比（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</si>
  <si>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4" type="noConversion"/>
  </si>
  <si>
    <r>
      <rPr>
        <sz val="10.5"/>
        <rFont val="宋体"/>
        <family val="3"/>
        <charset val="134"/>
      </rPr>
      <t>接受批：</t>
    </r>
    <phoneticPr fontId="4" type="noConversion"/>
  </si>
  <si>
    <r>
      <rPr>
        <sz val="10.5"/>
        <rFont val="宋体"/>
        <family val="3"/>
        <charset val="134"/>
      </rPr>
      <t>除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外</t>
    </r>
    <phoneticPr fontId="4" type="noConversion"/>
  </si>
  <si>
    <r>
      <rPr>
        <sz val="10.5"/>
        <rFont val="宋体"/>
        <family val="3"/>
        <charset val="134"/>
      </rPr>
      <t>批内</t>
    </r>
    <phoneticPr fontId="4" type="noConversion"/>
  </si>
  <si>
    <r>
      <rPr>
        <sz val="10.5"/>
        <rFont val="宋体"/>
        <family val="3"/>
        <charset val="134"/>
      </rPr>
      <t>批间</t>
    </r>
    <phoneticPr fontId="4" type="noConversion"/>
  </si>
  <si>
    <r>
      <rPr>
        <sz val="10.5"/>
        <rFont val="宋体"/>
        <family val="3"/>
        <charset val="134"/>
      </rPr>
      <t>批间</t>
    </r>
    <phoneticPr fontId="4" type="noConversion"/>
  </si>
  <si>
    <r>
      <rPr>
        <sz val="10.5"/>
        <rFont val="宋体"/>
        <family val="3"/>
        <charset val="134"/>
      </rPr>
      <t>批内均值</t>
    </r>
    <phoneticPr fontId="4" type="noConversion"/>
  </si>
  <si>
    <r>
      <rPr>
        <sz val="10.5"/>
        <rFont val="宋体"/>
        <family val="3"/>
        <charset val="134"/>
      </rPr>
      <t>拒绝批：</t>
    </r>
    <phoneticPr fontId="4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</si>
  <si>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6</t>
    </r>
    <phoneticPr fontId="18" type="noConversion"/>
  </si>
  <si>
    <r>
      <rPr>
        <sz val="10.5"/>
        <rFont val="宋体"/>
        <family val="1"/>
        <charset val="134"/>
      </rPr>
      <t>检测</t>
    </r>
    <r>
      <rPr>
        <sz val="10.5"/>
        <rFont val="Yu Gothic"/>
        <family val="2"/>
        <charset val="128"/>
      </rPr>
      <t>批次</t>
    </r>
    <r>
      <rPr>
        <sz val="10.5"/>
        <rFont val="Times New Roman"/>
        <family val="1"/>
      </rPr>
      <t>编</t>
    </r>
    <r>
      <rPr>
        <sz val="10.5"/>
        <rFont val="Yu Gothic"/>
        <family val="2"/>
        <charset val="128"/>
      </rPr>
      <t>号：</t>
    </r>
    <r>
      <rPr>
        <sz val="10.5"/>
        <rFont val="Times New Roman"/>
        <family val="1"/>
      </rPr>
      <t>6</t>
    </r>
    <phoneticPr fontId="4" type="noConversion"/>
  </si>
  <si>
    <r>
      <rPr>
        <sz val="10.5"/>
        <rFont val="宋体"/>
        <family val="3"/>
        <charset val="134"/>
      </rPr>
      <t>平均值</t>
    </r>
    <phoneticPr fontId="4" type="noConversion"/>
  </si>
  <si>
    <r>
      <rPr>
        <sz val="10.5"/>
        <rFont val="宋体"/>
        <family val="3"/>
        <charset val="134"/>
      </rPr>
      <t>样品名称</t>
    </r>
    <phoneticPr fontId="4" type="noConversion"/>
  </si>
  <si>
    <r>
      <rPr>
        <sz val="10.5"/>
        <rFont val="宋体"/>
        <family val="3"/>
        <charset val="134"/>
      </rPr>
      <t>待测物峰面积</t>
    </r>
    <phoneticPr fontId="4" type="noConversion"/>
  </si>
  <si>
    <t>系统适用性，标准曲线及范围，第二批批内准确度和精密度，选择性，基质效应，回收率，溶血效应，残留评价，分析批最大进样针数</t>
    <phoneticPr fontId="4" type="noConversion"/>
  </si>
  <si>
    <t>系统适用性，回收率</t>
    <phoneticPr fontId="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</si>
  <si>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 xml:space="preserve">1. </t>
    </r>
    <r>
      <rPr>
        <sz val="10.5"/>
        <rFont val="宋体"/>
        <family val="3"/>
        <charset val="134"/>
      </rPr>
      <t>标曲质控样品结果不满足接受标准，拒绝分析批结果，重新考察。</t>
    </r>
    <phoneticPr fontId="4" type="noConversion"/>
  </si>
  <si>
    <r>
      <rPr>
        <sz val="10.5"/>
        <rFont val="宋体"/>
        <family val="3"/>
        <charset val="134"/>
      </rPr>
      <t>系统适用性，标准曲线及范围，第三批批内准确度和精密度，样品短期稳定性，样品冻融稳定性，处理后样品稳定性</t>
    </r>
    <r>
      <rPr>
        <vertAlign val="super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，残留评价，分析批最大进样针数（</t>
    </r>
    <r>
      <rPr>
        <sz val="10.5"/>
        <rFont val="Times New Roman"/>
        <family val="1"/>
      </rPr>
      <t>135</t>
    </r>
    <r>
      <rPr>
        <sz val="10.5"/>
        <rFont val="宋体"/>
        <family val="3"/>
        <charset val="134"/>
      </rPr>
      <t>针）</t>
    </r>
    <phoneticPr fontId="4" type="noConversion"/>
  </si>
  <si>
    <t>系统适用性，标准曲线及范围，第四批批内准确度和精密度，选择性，基质效应，溶血效应，残留评价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</si>
</sst>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"/>
    <numFmt numFmtId="177" formatCode="0.0_ "/>
    <numFmt numFmtId="178" formatCode="0.000"/>
    <numFmt numFmtId="179" formatCode="0_ "/>
    <numFmt numFmtId="180" formatCode="0.000000"/>
    <numFmt numFmtId="181" formatCode="yyyy/mm/dd"/>
    <numFmt numFmtId="182" formatCode="0.000_ "/>
    <numFmt numFmtId="183" formatCode="0.000000_ "/>
    <numFmt numFmtId="184" formatCode="[$-409]dd\-mmm\-yy;@"/>
    <numFmt numFmtId="185" formatCode="yyyy/mm/dd\ hh:mm"/>
    <numFmt numFmtId="186" formatCode="0.00;[Red]0.00"/>
  </numFmts>
  <fonts count="52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rgb="FF0070C0"/>
      <name val="Times New Roman"/>
      <family val="1"/>
    </font>
    <font>
      <sz val="10"/>
      <color indexed="8"/>
      <name val="MS Sans Serif"/>
      <family val="2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9"/>
      <name val="DengXian"/>
      <family val="2"/>
    </font>
    <font>
      <sz val="10.5"/>
      <color theme="1"/>
      <name val="Times New Roman"/>
      <family val="3"/>
      <charset val="134"/>
    </font>
    <font>
      <sz val="10.5"/>
      <name val="Times New Roman"/>
      <family val="3"/>
    </font>
    <font>
      <vertAlign val="superscript"/>
      <sz val="10.5"/>
      <name val="Times New Roman"/>
      <family val="1"/>
    </font>
    <font>
      <sz val="10.5"/>
      <name val="宋体"/>
      <family val="1"/>
      <charset val="134"/>
    </font>
    <font>
      <sz val="10.5"/>
      <name val="Times New Roman"/>
      <family val="1"/>
      <charset val="134"/>
    </font>
    <font>
      <sz val="10.5"/>
      <name val="Yu Gothic"/>
      <family val="2"/>
      <charset val="128"/>
    </font>
    <font>
      <sz val="11"/>
      <name val="DengXia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82">
    <xf numFmtId="0" fontId="0" fillId="0" borderId="0"/>
    <xf numFmtId="0" fontId="7" fillId="2" borderId="0" applyNumberFormat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8" fillId="2" borderId="0" applyNumberFormat="0" applyBorder="0" applyAlignment="0" applyProtection="0"/>
    <xf numFmtId="0" fontId="15" fillId="0" borderId="0"/>
    <xf numFmtId="0" fontId="3" fillId="0" borderId="0"/>
    <xf numFmtId="0" fontId="20" fillId="0" borderId="0"/>
    <xf numFmtId="0" fontId="21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" borderId="0" applyNumberFormat="0" applyBorder="0" applyAlignment="0" applyProtection="0"/>
    <xf numFmtId="0" fontId="15" fillId="0" borderId="0"/>
    <xf numFmtId="0" fontId="24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5" fillId="5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14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6" fillId="7" borderId="0" applyNumberFormat="0" applyBorder="0" applyAlignment="0" applyProtection="0"/>
    <xf numFmtId="0" fontId="26" fillId="11" borderId="0" applyNumberFormat="0" applyBorder="0" applyAlignment="0" applyProtection="0"/>
    <xf numFmtId="0" fontId="26" fillId="15" borderId="0" applyNumberFormat="0" applyBorder="0" applyAlignment="0" applyProtection="0"/>
    <xf numFmtId="0" fontId="26" fillId="19" borderId="0" applyNumberFormat="0" applyBorder="0" applyAlignment="0" applyProtection="0"/>
    <xf numFmtId="0" fontId="26" fillId="23" borderId="0" applyNumberFormat="0" applyBorder="0" applyAlignment="0" applyProtection="0"/>
    <xf numFmtId="0" fontId="26" fillId="27" borderId="0" applyNumberFormat="0" applyBorder="0" applyAlignment="0" applyProtection="0"/>
    <xf numFmtId="0" fontId="26" fillId="4" borderId="0" applyNumberFormat="0" applyBorder="0" applyAlignment="0" applyProtection="0"/>
    <xf numFmtId="0" fontId="26" fillId="8" borderId="0" applyNumberFormat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7" fillId="2" borderId="0" applyNumberFormat="0" applyBorder="0" applyAlignment="0" applyProtection="0"/>
    <xf numFmtId="0" fontId="28" fillId="30" borderId="27" applyNumberFormat="0" applyAlignment="0" applyProtection="0"/>
    <xf numFmtId="0" fontId="29" fillId="31" borderId="30" applyNumberFormat="0" applyAlignment="0" applyProtection="0"/>
    <xf numFmtId="0" fontId="30" fillId="0" borderId="0" applyNumberFormat="0" applyFill="0" applyBorder="0" applyAlignment="0" applyProtection="0"/>
    <xf numFmtId="0" fontId="31" fillId="3" borderId="0" applyNumberFormat="0" applyBorder="0" applyAlignment="0" applyProtection="0"/>
    <xf numFmtId="0" fontId="32" fillId="0" borderId="24" applyNumberFormat="0" applyFill="0" applyAlignment="0" applyProtection="0"/>
    <xf numFmtId="0" fontId="33" fillId="0" borderId="25" applyNumberFormat="0" applyFill="0" applyAlignment="0" applyProtection="0"/>
    <xf numFmtId="0" fontId="34" fillId="0" borderId="26" applyNumberFormat="0" applyFill="0" applyAlignment="0" applyProtection="0"/>
    <xf numFmtId="0" fontId="34" fillId="0" borderId="0" applyNumberFormat="0" applyFill="0" applyBorder="0" applyAlignment="0" applyProtection="0"/>
    <xf numFmtId="0" fontId="35" fillId="29" borderId="27" applyNumberFormat="0" applyAlignment="0" applyProtection="0"/>
    <xf numFmtId="0" fontId="36" fillId="0" borderId="29" applyNumberFormat="0" applyFill="0" applyAlignment="0" applyProtection="0"/>
    <xf numFmtId="0" fontId="37" fillId="28" borderId="0" applyNumberFormat="0" applyBorder="0" applyAlignment="0" applyProtection="0"/>
    <xf numFmtId="0" fontId="25" fillId="32" borderId="31" applyNumberFormat="0" applyFont="0" applyAlignment="0" applyProtection="0"/>
    <xf numFmtId="0" fontId="38" fillId="30" borderId="28" applyNumberFormat="0" applyAlignment="0" applyProtection="0"/>
    <xf numFmtId="0" fontId="39" fillId="0" borderId="0" applyNumberFormat="0" applyFill="0" applyBorder="0" applyAlignment="0" applyProtection="0"/>
    <xf numFmtId="0" fontId="40" fillId="0" borderId="32" applyNumberFormat="0" applyFill="0" applyAlignment="0" applyProtection="0"/>
    <xf numFmtId="0" fontId="41" fillId="0" borderId="0" applyNumberFormat="0" applyFill="0" applyBorder="0" applyAlignment="0" applyProtection="0"/>
    <xf numFmtId="0" fontId="43" fillId="2" borderId="0" applyNumberFormat="0" applyBorder="0" applyAlignment="0" applyProtection="0"/>
    <xf numFmtId="0" fontId="23" fillId="2" borderId="0" applyNumberFormat="0" applyBorder="0" applyAlignment="0" applyProtection="0"/>
    <xf numFmtId="0" fontId="21" fillId="0" borderId="0"/>
    <xf numFmtId="0" fontId="24" fillId="3" borderId="0" applyNumberFormat="0" applyBorder="0" applyAlignment="0" applyProtection="0">
      <alignment vertical="center"/>
    </xf>
    <xf numFmtId="0" fontId="23" fillId="2" borderId="0" applyNumberFormat="0" applyBorder="0" applyAlignment="0" applyProtection="0"/>
  </cellStyleXfs>
  <cellXfs count="197"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178" fontId="13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justify"/>
    </xf>
    <xf numFmtId="0" fontId="16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14" fontId="13" fillId="0" borderId="0" xfId="0" applyNumberFormat="1" applyFont="1"/>
    <xf numFmtId="0" fontId="13" fillId="0" borderId="0" xfId="5" applyFont="1" applyFill="1" applyBorder="1" applyAlignment="1">
      <alignment horizontal="center" vertical="center" wrapText="1"/>
    </xf>
    <xf numFmtId="0" fontId="13" fillId="0" borderId="0" xfId="5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176" fontId="17" fillId="0" borderId="1" xfId="0" applyNumberFormat="1" applyFont="1" applyBorder="1" applyAlignment="1">
      <alignment horizontal="center" vertical="center" wrapText="1"/>
    </xf>
    <xf numFmtId="0" fontId="10" fillId="0" borderId="7" xfId="0" applyFont="1" applyBorder="1"/>
    <xf numFmtId="1" fontId="6" fillId="0" borderId="0" xfId="0" applyNumberFormat="1" applyFont="1" applyAlignment="1">
      <alignment horizontal="center"/>
    </xf>
    <xf numFmtId="0" fontId="6" fillId="0" borderId="0" xfId="8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18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vertical="center"/>
    </xf>
    <xf numFmtId="176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2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42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182" fontId="13" fillId="0" borderId="2" xfId="0" applyNumberFormat="1" applyFont="1" applyBorder="1" applyAlignment="1" applyProtection="1">
      <alignment horizontal="center" vertical="center" wrapText="1"/>
      <protection locked="0"/>
    </xf>
    <xf numFmtId="178" fontId="13" fillId="0" borderId="1" xfId="0" applyNumberFormat="1" applyFont="1" applyBorder="1" applyAlignment="1" applyProtection="1">
      <alignment horizontal="center" vertical="center"/>
      <protection locked="0"/>
    </xf>
    <xf numFmtId="176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176" fontId="13" fillId="0" borderId="0" xfId="0" applyNumberFormat="1" applyFont="1" applyAlignment="1">
      <alignment horizontal="center" vertical="center"/>
    </xf>
    <xf numFmtId="0" fontId="42" fillId="0" borderId="0" xfId="0" applyFont="1"/>
    <xf numFmtId="181" fontId="13" fillId="0" borderId="1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justify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/>
    </xf>
    <xf numFmtId="0" fontId="13" fillId="0" borderId="1" xfId="5" applyFont="1" applyFill="1" applyBorder="1" applyAlignment="1">
      <alignment horizontal="center" vertical="center"/>
    </xf>
    <xf numFmtId="0" fontId="13" fillId="0" borderId="0" xfId="3" applyFont="1"/>
    <xf numFmtId="0" fontId="13" fillId="0" borderId="0" xfId="3" applyFont="1" applyAlignment="1">
      <alignment horizontal="center"/>
    </xf>
    <xf numFmtId="179" fontId="13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178" fontId="13" fillId="0" borderId="2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3" fillId="0" borderId="1" xfId="79" applyFont="1" applyBorder="1" applyAlignment="1">
      <alignment horizontal="center" vertical="center" wrapText="1"/>
    </xf>
    <xf numFmtId="0" fontId="5" fillId="0" borderId="1" xfId="79" applyFont="1" applyBorder="1" applyAlignment="1">
      <alignment horizontal="center" vertical="center" wrapText="1"/>
    </xf>
    <xf numFmtId="180" fontId="13" fillId="0" borderId="1" xfId="79" applyNumberFormat="1" applyFont="1" applyBorder="1" applyAlignment="1">
      <alignment horizontal="center" vertical="center"/>
    </xf>
    <xf numFmtId="176" fontId="13" fillId="0" borderId="1" xfId="79" applyNumberFormat="1" applyFont="1" applyBorder="1" applyAlignment="1">
      <alignment horizontal="center" vertical="center"/>
    </xf>
    <xf numFmtId="180" fontId="13" fillId="0" borderId="1" xfId="79" applyNumberFormat="1" applyFont="1" applyBorder="1" applyAlignment="1">
      <alignment horizontal="center" vertical="center" wrapText="1"/>
    </xf>
    <xf numFmtId="176" fontId="13" fillId="0" borderId="1" xfId="79" applyNumberFormat="1" applyFont="1" applyBorder="1" applyAlignment="1">
      <alignment horizontal="center" vertical="center" wrapText="1"/>
    </xf>
    <xf numFmtId="180" fontId="13" fillId="0" borderId="1" xfId="0" applyNumberFormat="1" applyFont="1" applyBorder="1" applyAlignment="1">
      <alignment horizontal="center" vertical="center" wrapText="1"/>
    </xf>
    <xf numFmtId="180" fontId="13" fillId="0" borderId="0" xfId="0" applyNumberFormat="1" applyFont="1" applyAlignment="1">
      <alignment horizontal="right" vertical="center"/>
    </xf>
    <xf numFmtId="183" fontId="13" fillId="0" borderId="1" xfId="0" applyNumberFormat="1" applyFont="1" applyBorder="1" applyAlignment="1">
      <alignment horizontal="center" vertical="center"/>
    </xf>
    <xf numFmtId="183" fontId="13" fillId="0" borderId="22" xfId="0" applyNumberFormat="1" applyFont="1" applyBorder="1" applyAlignment="1">
      <alignment horizontal="center" vertical="center"/>
    </xf>
    <xf numFmtId="183" fontId="13" fillId="0" borderId="23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83" fontId="13" fillId="0" borderId="0" xfId="0" applyNumberFormat="1" applyFont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185" fontId="13" fillId="0" borderId="0" xfId="0" applyNumberFormat="1" applyFont="1" applyAlignment="1">
      <alignment horizontal="left" vertical="center"/>
    </xf>
    <xf numFmtId="186" fontId="13" fillId="0" borderId="0" xfId="0" applyNumberFormat="1" applyFont="1" applyAlignment="1">
      <alignment horizontal="left" vertical="center"/>
    </xf>
    <xf numFmtId="182" fontId="13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178" fontId="17" fillId="0" borderId="0" xfId="0" applyNumberFormat="1" applyFont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 wrapText="1"/>
    </xf>
    <xf numFmtId="176" fontId="10" fillId="0" borderId="0" xfId="0" applyNumberFormat="1" applyFont="1" applyAlignment="1">
      <alignment horizontal="center"/>
    </xf>
    <xf numFmtId="0" fontId="42" fillId="0" borderId="0" xfId="0" applyFont="1" applyAlignment="1">
      <alignment horizontal="left"/>
    </xf>
    <xf numFmtId="0" fontId="13" fillId="0" borderId="7" xfId="0" applyFont="1" applyBorder="1"/>
    <xf numFmtId="186" fontId="13" fillId="0" borderId="0" xfId="0" applyNumberFormat="1" applyFont="1"/>
    <xf numFmtId="0" fontId="6" fillId="0" borderId="0" xfId="7" applyFont="1" applyAlignment="1">
      <alignment horizontal="center" vertical="center"/>
    </xf>
    <xf numFmtId="184" fontId="6" fillId="0" borderId="0" xfId="8" applyNumberFormat="1" applyFont="1" applyAlignment="1">
      <alignment horizontal="center"/>
    </xf>
    <xf numFmtId="176" fontId="13" fillId="0" borderId="0" xfId="0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right" vertical="center"/>
    </xf>
    <xf numFmtId="182" fontId="13" fillId="0" borderId="4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center" vertical="center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176" fontId="13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1" fontId="16" fillId="0" borderId="0" xfId="0" applyNumberFormat="1" applyFont="1"/>
    <xf numFmtId="183" fontId="1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13" fillId="0" borderId="0" xfId="0" applyFont="1" applyAlignment="1">
      <alignment horizontal="left"/>
    </xf>
    <xf numFmtId="0" fontId="13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177" fontId="13" fillId="0" borderId="3" xfId="0" applyNumberFormat="1" applyFont="1" applyBorder="1" applyAlignment="1">
      <alignment horizontal="center" vertical="center"/>
    </xf>
    <xf numFmtId="181" fontId="13" fillId="0" borderId="1" xfId="0" applyNumberFormat="1" applyFont="1" applyBorder="1" applyAlignment="1">
      <alignment horizontal="center" vertical="center" wrapText="1"/>
    </xf>
    <xf numFmtId="181" fontId="13" fillId="0" borderId="1" xfId="0" applyNumberFormat="1" applyFont="1" applyBorder="1" applyAlignment="1">
      <alignment horizontal="center" vertical="center"/>
    </xf>
    <xf numFmtId="0" fontId="45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left" vertical="center"/>
      <protection locked="0"/>
    </xf>
    <xf numFmtId="181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>
      <alignment horizontal="left" vertical="center"/>
    </xf>
    <xf numFmtId="0" fontId="13" fillId="0" borderId="21" xfId="0" applyFont="1" applyBorder="1" applyAlignment="1" applyProtection="1">
      <alignment horizontal="left" vertical="center" wrapText="1"/>
      <protection locked="0"/>
    </xf>
    <xf numFmtId="0" fontId="13" fillId="0" borderId="19" xfId="0" applyFont="1" applyBorder="1" applyAlignment="1" applyProtection="1">
      <alignment horizontal="left" vertical="center" wrapText="1"/>
      <protection locked="0"/>
    </xf>
    <xf numFmtId="176" fontId="13" fillId="0" borderId="1" xfId="0" applyNumberFormat="1" applyFont="1" applyBorder="1" applyAlignment="1">
      <alignment horizontal="center" vertical="center"/>
    </xf>
    <xf numFmtId="176" fontId="51" fillId="0" borderId="1" xfId="0" applyNumberFormat="1" applyFont="1" applyBorder="1" applyAlignment="1">
      <alignment horizontal="center" vertical="center"/>
    </xf>
    <xf numFmtId="0" fontId="13" fillId="0" borderId="4" xfId="79" applyFont="1" applyBorder="1" applyAlignment="1">
      <alignment horizontal="left" vertical="center" wrapText="1"/>
    </xf>
    <xf numFmtId="0" fontId="13" fillId="0" borderId="8" xfId="79" applyFont="1" applyBorder="1" applyAlignment="1">
      <alignment horizontal="left" vertical="center" wrapText="1"/>
    </xf>
    <xf numFmtId="0" fontId="13" fillId="0" borderId="6" xfId="79" applyFont="1" applyBorder="1" applyAlignment="1">
      <alignment horizontal="left" vertical="center" wrapText="1"/>
    </xf>
    <xf numFmtId="180" fontId="13" fillId="0" borderId="13" xfId="79" applyNumberFormat="1" applyFont="1" applyBorder="1" applyAlignment="1">
      <alignment horizontal="center" vertical="center" wrapText="1"/>
    </xf>
    <xf numFmtId="180" fontId="13" fillId="0" borderId="14" xfId="79" applyNumberFormat="1" applyFont="1" applyBorder="1" applyAlignment="1">
      <alignment horizontal="center" vertical="center" wrapText="1"/>
    </xf>
    <xf numFmtId="180" fontId="13" fillId="0" borderId="17" xfId="79" applyNumberFormat="1" applyFont="1" applyBorder="1" applyAlignment="1">
      <alignment horizontal="center" vertical="center" wrapText="1"/>
    </xf>
    <xf numFmtId="180" fontId="13" fillId="0" borderId="18" xfId="79" applyNumberFormat="1" applyFont="1" applyBorder="1" applyAlignment="1">
      <alignment horizontal="center" vertical="center" wrapText="1"/>
    </xf>
    <xf numFmtId="0" fontId="13" fillId="0" borderId="5" xfId="79" applyFont="1" applyBorder="1" applyAlignment="1">
      <alignment horizontal="center" vertical="center" wrapText="1"/>
    </xf>
    <xf numFmtId="0" fontId="13" fillId="0" borderId="4" xfId="79" applyFont="1" applyBorder="1" applyAlignment="1">
      <alignment horizontal="center" vertical="center" wrapText="1"/>
    </xf>
    <xf numFmtId="0" fontId="13" fillId="0" borderId="8" xfId="79" applyFont="1" applyBorder="1" applyAlignment="1">
      <alignment horizontal="center" vertical="center" wrapText="1"/>
    </xf>
    <xf numFmtId="0" fontId="13" fillId="0" borderId="6" xfId="79" applyFont="1" applyBorder="1" applyAlignment="1">
      <alignment horizontal="center" vertical="center" wrapText="1"/>
    </xf>
    <xf numFmtId="0" fontId="13" fillId="0" borderId="1" xfId="79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81" fontId="13" fillId="0" borderId="2" xfId="0" applyNumberFormat="1" applyFont="1" applyBorder="1" applyAlignment="1">
      <alignment horizontal="center" vertical="center" wrapText="1"/>
    </xf>
    <xf numFmtId="181" fontId="13" fillId="0" borderId="9" xfId="0" applyNumberFormat="1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176" fontId="13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justify" vertical="center" wrapText="1"/>
    </xf>
    <xf numFmtId="0" fontId="10" fillId="0" borderId="0" xfId="0" applyFont="1" applyAlignment="1">
      <alignment horizontal="left"/>
    </xf>
    <xf numFmtId="0" fontId="13" fillId="0" borderId="2" xfId="0" applyFont="1" applyBorder="1" applyAlignment="1">
      <alignment horizontal="center"/>
    </xf>
  </cellXfs>
  <cellStyles count="82">
    <cellStyle name="20% - Accent1" xfId="36" xr:uid="{00000000-0005-0000-0000-000000000000}"/>
    <cellStyle name="20% - Accent2" xfId="37" xr:uid="{00000000-0005-0000-0000-000001000000}"/>
    <cellStyle name="20% - Accent3" xfId="38" xr:uid="{00000000-0005-0000-0000-000002000000}"/>
    <cellStyle name="20% - Accent4" xfId="39" xr:uid="{00000000-0005-0000-0000-000003000000}"/>
    <cellStyle name="20% - Accent5" xfId="40" xr:uid="{00000000-0005-0000-0000-000004000000}"/>
    <cellStyle name="20% - Accent6" xfId="41" xr:uid="{00000000-0005-0000-0000-000005000000}"/>
    <cellStyle name="20% - 强调文字颜色 1" xfId="9" xr:uid="{00000000-0005-0000-0000-000006000000}"/>
    <cellStyle name="20% - 强调文字颜色 2" xfId="10" xr:uid="{00000000-0005-0000-0000-000007000000}"/>
    <cellStyle name="20% - 强调文字颜色 3" xfId="11" xr:uid="{00000000-0005-0000-0000-000008000000}"/>
    <cellStyle name="20% - 强调文字颜色 4" xfId="12" xr:uid="{00000000-0005-0000-0000-000009000000}"/>
    <cellStyle name="20% - 强调文字颜色 5" xfId="13" xr:uid="{00000000-0005-0000-0000-00000A000000}"/>
    <cellStyle name="20% - 强调文字颜色 6" xfId="14" xr:uid="{00000000-0005-0000-0000-00000B000000}"/>
    <cellStyle name="40% - Accent1" xfId="42" xr:uid="{00000000-0005-0000-0000-00000C000000}"/>
    <cellStyle name="40% - Accent2" xfId="43" xr:uid="{00000000-0005-0000-0000-00000D000000}"/>
    <cellStyle name="40% - Accent3" xfId="44" xr:uid="{00000000-0005-0000-0000-00000E000000}"/>
    <cellStyle name="40% - Accent4" xfId="45" xr:uid="{00000000-0005-0000-0000-00000F000000}"/>
    <cellStyle name="40% - Accent5" xfId="46" xr:uid="{00000000-0005-0000-0000-000010000000}"/>
    <cellStyle name="40% - Accent6" xfId="47" xr:uid="{00000000-0005-0000-0000-000011000000}"/>
    <cellStyle name="40% - 强调文字颜色 1" xfId="15" xr:uid="{00000000-0005-0000-0000-000012000000}"/>
    <cellStyle name="40% - 强调文字颜色 2" xfId="16" xr:uid="{00000000-0005-0000-0000-000013000000}"/>
    <cellStyle name="40% - 强调文字颜色 3" xfId="17" xr:uid="{00000000-0005-0000-0000-000014000000}"/>
    <cellStyle name="40% - 强调文字颜色 4" xfId="18" xr:uid="{00000000-0005-0000-0000-000015000000}"/>
    <cellStyle name="40% - 强调文字颜色 5" xfId="19" xr:uid="{00000000-0005-0000-0000-000016000000}"/>
    <cellStyle name="40% - 强调文字颜色 6" xfId="20" xr:uid="{00000000-0005-0000-0000-000017000000}"/>
    <cellStyle name="60% - Accent1" xfId="48" xr:uid="{00000000-0005-0000-0000-000018000000}"/>
    <cellStyle name="60% - Accent2" xfId="49" xr:uid="{00000000-0005-0000-0000-000019000000}"/>
    <cellStyle name="60% - Accent3" xfId="50" xr:uid="{00000000-0005-0000-0000-00001A000000}"/>
    <cellStyle name="60% - Accent4" xfId="51" xr:uid="{00000000-0005-0000-0000-00001B000000}"/>
    <cellStyle name="60% - Accent5" xfId="52" xr:uid="{00000000-0005-0000-0000-00001C000000}"/>
    <cellStyle name="60% - Accent6" xfId="53" xr:uid="{00000000-0005-0000-0000-00001D000000}"/>
    <cellStyle name="60% - 强调文字颜色 1" xfId="21" xr:uid="{00000000-0005-0000-0000-00001E000000}"/>
    <cellStyle name="60% - 强调文字颜色 2" xfId="22" xr:uid="{00000000-0005-0000-0000-00001F000000}"/>
    <cellStyle name="60% - 强调文字颜色 3" xfId="23" xr:uid="{00000000-0005-0000-0000-000020000000}"/>
    <cellStyle name="60% - 强调文字颜色 4" xfId="24" xr:uid="{00000000-0005-0000-0000-000021000000}"/>
    <cellStyle name="60% - 强调文字颜色 5" xfId="25" xr:uid="{00000000-0005-0000-0000-000022000000}"/>
    <cellStyle name="60% - 强调文字颜色 6" xfId="26" xr:uid="{00000000-0005-0000-0000-000023000000}"/>
    <cellStyle name="Accent1" xfId="54" xr:uid="{00000000-0005-0000-0000-000024000000}"/>
    <cellStyle name="Accent2" xfId="55" xr:uid="{00000000-0005-0000-0000-000025000000}"/>
    <cellStyle name="Accent3" xfId="56" xr:uid="{00000000-0005-0000-0000-000026000000}"/>
    <cellStyle name="Accent4" xfId="57" xr:uid="{00000000-0005-0000-0000-000027000000}"/>
    <cellStyle name="Accent5" xfId="58" xr:uid="{00000000-0005-0000-0000-000028000000}"/>
    <cellStyle name="Accent6" xfId="59" xr:uid="{00000000-0005-0000-0000-000029000000}"/>
    <cellStyle name="Bad" xfId="60" xr:uid="{00000000-0005-0000-0000-00002A000000}"/>
    <cellStyle name="Bad 2" xfId="1" xr:uid="{00000000-0005-0000-0000-00002B000000}"/>
    <cellStyle name="Bad_表11_Recovery" xfId="77" xr:uid="{00000000-0005-0000-0000-00002C000000}"/>
    <cellStyle name="Calculation" xfId="61" xr:uid="{00000000-0005-0000-0000-00002D000000}"/>
    <cellStyle name="Check Cell" xfId="62" xr:uid="{00000000-0005-0000-0000-00002E000000}"/>
    <cellStyle name="Explanatory Text" xfId="63" xr:uid="{00000000-0005-0000-0000-00002F000000}"/>
    <cellStyle name="Good" xfId="64" xr:uid="{00000000-0005-0000-0000-000030000000}"/>
    <cellStyle name="Heading 1" xfId="65" xr:uid="{00000000-0005-0000-0000-000031000000}"/>
    <cellStyle name="Heading 2" xfId="66" xr:uid="{00000000-0005-0000-0000-000032000000}"/>
    <cellStyle name="Heading 3" xfId="67" xr:uid="{00000000-0005-0000-0000-000033000000}"/>
    <cellStyle name="Heading 4" xfId="68" xr:uid="{00000000-0005-0000-0000-000034000000}"/>
    <cellStyle name="Input" xfId="69" xr:uid="{00000000-0005-0000-0000-000035000000}"/>
    <cellStyle name="Linked Cell" xfId="70" xr:uid="{00000000-0005-0000-0000-000036000000}"/>
    <cellStyle name="Neutral" xfId="71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7" xr:uid="{00000000-0005-0000-0000-00003A000000}"/>
    <cellStyle name="Normal_TABLE2" xfId="8" xr:uid="{00000000-0005-0000-0000-00003B000000}"/>
    <cellStyle name="Note" xfId="72" xr:uid="{00000000-0005-0000-0000-00003C000000}"/>
    <cellStyle name="Output" xfId="73" xr:uid="{00000000-0005-0000-0000-00003D000000}"/>
    <cellStyle name="Percent 2" xfId="4" xr:uid="{00000000-0005-0000-0000-00003E000000}"/>
    <cellStyle name="Title" xfId="74" xr:uid="{00000000-0005-0000-0000-00003F000000}"/>
    <cellStyle name="Total" xfId="75" xr:uid="{00000000-0005-0000-0000-000040000000}"/>
    <cellStyle name="Warning Text" xfId="76" xr:uid="{00000000-0005-0000-0000-000041000000}"/>
    <cellStyle name="差" xfId="5" builtinId="27"/>
    <cellStyle name="差_1.1" xfId="27" xr:uid="{00000000-0005-0000-0000-000043000000}"/>
    <cellStyle name="差_表11_Recovery" xfId="78" xr:uid="{00000000-0005-0000-0000-000044000000}"/>
    <cellStyle name="差_表25_干扰" xfId="81" xr:uid="{00000000-0005-0000-0000-000045000000}"/>
    <cellStyle name="常规" xfId="0" builtinId="0"/>
    <cellStyle name="常规 2" xfId="28" xr:uid="{00000000-0005-0000-0000-000047000000}"/>
    <cellStyle name="常规 2 2" xfId="6" xr:uid="{00000000-0005-0000-0000-000048000000}"/>
    <cellStyle name="常规_表11_Recovery" xfId="79" xr:uid="{00000000-0005-0000-0000-000049000000}"/>
    <cellStyle name="好_1.1" xfId="29" xr:uid="{00000000-0005-0000-0000-00004A000000}"/>
    <cellStyle name="好_表11_Recovery" xfId="80" xr:uid="{00000000-0005-0000-0000-00004B000000}"/>
    <cellStyle name="强调文字颜色 1" xfId="30" xr:uid="{00000000-0005-0000-0000-00004C000000}"/>
    <cellStyle name="强调文字颜色 2" xfId="31" xr:uid="{00000000-0005-0000-0000-00004D000000}"/>
    <cellStyle name="强调文字颜色 3" xfId="32" xr:uid="{00000000-0005-0000-0000-00004E000000}"/>
    <cellStyle name="强调文字颜色 4" xfId="33" xr:uid="{00000000-0005-0000-0000-00004F000000}"/>
    <cellStyle name="强调文字颜色 5" xfId="34" xr:uid="{00000000-0005-0000-0000-000050000000}"/>
    <cellStyle name="强调文字颜色 6" xfId="35" xr:uid="{00000000-0005-0000-0000-00005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2:G24"/>
  <sheetViews>
    <sheetView view="pageBreakPreview" zoomScaleNormal="100" zoomScaleSheetLayoutView="100" workbookViewId="0">
      <selection activeCell="B14" sqref="B14"/>
    </sheetView>
  </sheetViews>
  <sheetFormatPr defaultColWidth="8.875" defaultRowHeight="13.5"/>
  <cols>
    <col min="1" max="1" width="7.875" style="9" customWidth="1"/>
    <col min="2" max="2" width="71.25" style="9" customWidth="1"/>
    <col min="3" max="3" width="13.75" style="9" customWidth="1"/>
    <col min="4" max="4" width="13.625" style="9" customWidth="1"/>
    <col min="5" max="5" width="16.125" style="15" bestFit="1" customWidth="1"/>
    <col min="6" max="6" width="13.25" style="9" customWidth="1"/>
    <col min="7" max="7" width="9.625" style="9" bestFit="1" customWidth="1"/>
    <col min="8" max="16384" width="8.875" style="9"/>
  </cols>
  <sheetData>
    <row r="2" spans="1:6">
      <c r="A2" s="111" t="s">
        <v>114</v>
      </c>
      <c r="B2" s="111"/>
      <c r="C2" s="11"/>
    </row>
    <row r="3" spans="1:6">
      <c r="A3" s="13"/>
    </row>
    <row r="4" spans="1:6" ht="31.5" customHeight="1">
      <c r="A4" s="32" t="s">
        <v>10</v>
      </c>
      <c r="B4" s="32" t="s">
        <v>11</v>
      </c>
      <c r="C4" s="32" t="s">
        <v>54</v>
      </c>
      <c r="D4" s="32" t="s">
        <v>12</v>
      </c>
      <c r="E4" s="32" t="s">
        <v>115</v>
      </c>
      <c r="F4" s="45" t="s">
        <v>55</v>
      </c>
    </row>
    <row r="5" spans="1:6" ht="42" customHeight="1">
      <c r="A5" s="45">
        <v>1</v>
      </c>
      <c r="B5" s="55" t="s">
        <v>111</v>
      </c>
      <c r="C5" s="53">
        <v>45531</v>
      </c>
      <c r="D5" s="53">
        <v>45532</v>
      </c>
      <c r="E5" s="32" t="s">
        <v>109</v>
      </c>
      <c r="F5" s="45" t="s">
        <v>88</v>
      </c>
    </row>
    <row r="6" spans="1:6" ht="43.5" customHeight="1">
      <c r="A6" s="45">
        <v>2</v>
      </c>
      <c r="B6" s="110" t="s">
        <v>213</v>
      </c>
      <c r="C6" s="53">
        <v>45532</v>
      </c>
      <c r="D6" s="53">
        <v>45532</v>
      </c>
      <c r="E6" s="32" t="s">
        <v>112</v>
      </c>
      <c r="F6" s="45" t="s">
        <v>88</v>
      </c>
    </row>
    <row r="7" spans="1:6" ht="53.25" customHeight="1">
      <c r="A7" s="45">
        <v>3</v>
      </c>
      <c r="B7" s="101" t="s">
        <v>216</v>
      </c>
      <c r="C7" s="53">
        <v>45534</v>
      </c>
      <c r="D7" s="53">
        <v>45534</v>
      </c>
      <c r="E7" s="32" t="s">
        <v>113</v>
      </c>
      <c r="F7" s="45" t="s">
        <v>88</v>
      </c>
    </row>
    <row r="8" spans="1:6" ht="20.45" customHeight="1">
      <c r="A8" s="45">
        <v>4</v>
      </c>
      <c r="B8" s="55" t="s">
        <v>110</v>
      </c>
      <c r="C8" s="53">
        <v>45534</v>
      </c>
      <c r="D8" s="53">
        <v>45535</v>
      </c>
      <c r="E8" s="42" t="s">
        <v>118</v>
      </c>
      <c r="F8" s="45" t="s">
        <v>88</v>
      </c>
    </row>
    <row r="9" spans="1:6" ht="48" customHeight="1">
      <c r="A9" s="45">
        <v>5</v>
      </c>
      <c r="B9" s="110" t="s">
        <v>217</v>
      </c>
      <c r="C9" s="53">
        <v>45536</v>
      </c>
      <c r="D9" s="53">
        <v>45536</v>
      </c>
      <c r="E9" s="32" t="s">
        <v>109</v>
      </c>
      <c r="F9" s="45" t="s">
        <v>88</v>
      </c>
    </row>
    <row r="10" spans="1:6" ht="19.5" customHeight="1">
      <c r="A10" s="45">
        <v>6</v>
      </c>
      <c r="B10" s="110" t="s">
        <v>214</v>
      </c>
      <c r="C10" s="53">
        <v>45536</v>
      </c>
      <c r="D10" s="53">
        <v>45537</v>
      </c>
      <c r="E10" s="42" t="s">
        <v>118</v>
      </c>
      <c r="F10" s="45" t="s">
        <v>88</v>
      </c>
    </row>
    <row r="11" spans="1:6" ht="15.75" customHeight="1">
      <c r="A11" s="45">
        <v>7</v>
      </c>
      <c r="B11" s="101" t="s">
        <v>186</v>
      </c>
      <c r="C11" s="53">
        <v>45539</v>
      </c>
      <c r="D11" s="53">
        <v>45539</v>
      </c>
      <c r="E11" s="32" t="s">
        <v>109</v>
      </c>
      <c r="F11" s="45" t="s">
        <v>88</v>
      </c>
    </row>
    <row r="12" spans="1:6">
      <c r="A12" s="12" t="s">
        <v>56</v>
      </c>
    </row>
    <row r="13" spans="1:6" ht="14.25" customHeight="1">
      <c r="A13" s="52" t="s">
        <v>215</v>
      </c>
    </row>
    <row r="14" spans="1:6">
      <c r="A14" s="12" t="s">
        <v>116</v>
      </c>
    </row>
    <row r="15" spans="1:6">
      <c r="A15" s="52" t="s">
        <v>119</v>
      </c>
    </row>
    <row r="16" spans="1:6">
      <c r="A16" s="54" t="s">
        <v>117</v>
      </c>
      <c r="E16" s="9"/>
    </row>
    <row r="17" spans="1:7">
      <c r="A17" s="54" t="s">
        <v>187</v>
      </c>
      <c r="E17" s="9"/>
    </row>
    <row r="18" spans="1:7">
      <c r="E18" s="9"/>
    </row>
    <row r="19" spans="1:7">
      <c r="E19" s="9"/>
    </row>
    <row r="20" spans="1:7">
      <c r="E20" s="9"/>
    </row>
    <row r="21" spans="1:7">
      <c r="E21" s="9"/>
    </row>
    <row r="22" spans="1:7">
      <c r="E22" s="9"/>
      <c r="F22" s="17"/>
      <c r="G22" s="17"/>
    </row>
    <row r="23" spans="1:7">
      <c r="E23" s="9"/>
    </row>
    <row r="24" spans="1:7">
      <c r="E24" s="9"/>
    </row>
  </sheetData>
  <mergeCells count="1">
    <mergeCell ref="A2:B2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3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H15"/>
  <sheetViews>
    <sheetView view="pageBreakPreview" zoomScaleNormal="100" zoomScaleSheetLayoutView="100" workbookViewId="0">
      <selection activeCell="D31" sqref="D31"/>
    </sheetView>
  </sheetViews>
  <sheetFormatPr defaultColWidth="8.875" defaultRowHeight="13.5"/>
  <cols>
    <col min="1" max="1" width="8.75" style="10" customWidth="1"/>
    <col min="2" max="2" width="19.25" style="10" customWidth="1"/>
    <col min="3" max="3" width="10.375" style="10" customWidth="1"/>
    <col min="4" max="4" width="26.375" style="10" bestFit="1" customWidth="1"/>
    <col min="5" max="6" width="10.375" style="10" customWidth="1"/>
    <col min="7" max="7" width="33.625" style="10" bestFit="1" customWidth="1"/>
    <col min="8" max="8" width="10.375" style="10" customWidth="1"/>
    <col min="9" max="16384" width="8.875" style="10"/>
  </cols>
  <sheetData>
    <row r="1" spans="1:8" ht="15" customHeight="1"/>
    <row r="2" spans="1:8" ht="15" customHeight="1">
      <c r="A2" s="114" t="s">
        <v>34</v>
      </c>
      <c r="B2" s="114"/>
      <c r="C2" s="114"/>
    </row>
    <row r="3" spans="1:8" ht="15" customHeight="1">
      <c r="A3" s="12"/>
      <c r="B3" s="12"/>
      <c r="C3" s="12"/>
    </row>
    <row r="4" spans="1:8" ht="15" customHeight="1">
      <c r="A4" s="12" t="s">
        <v>86</v>
      </c>
      <c r="C4" s="10" t="s">
        <v>80</v>
      </c>
    </row>
    <row r="5" spans="1:8" ht="15" customHeight="1">
      <c r="A5" s="116" t="s">
        <v>120</v>
      </c>
      <c r="B5" s="117"/>
      <c r="C5" s="117"/>
      <c r="D5" s="117"/>
      <c r="E5" s="117"/>
      <c r="F5" s="117"/>
      <c r="G5" s="117"/>
      <c r="H5" s="118"/>
    </row>
    <row r="6" spans="1:8" ht="28.5" customHeight="1">
      <c r="A6" s="115" t="s">
        <v>13</v>
      </c>
      <c r="B6" s="115" t="s">
        <v>14</v>
      </c>
      <c r="C6" s="115" t="s">
        <v>48</v>
      </c>
      <c r="D6" s="115"/>
      <c r="E6" s="115"/>
      <c r="F6" s="115" t="s">
        <v>15</v>
      </c>
      <c r="G6" s="115"/>
      <c r="H6" s="115"/>
    </row>
    <row r="7" spans="1:8" ht="28.5" customHeight="1">
      <c r="A7" s="115"/>
      <c r="B7" s="115"/>
      <c r="C7" s="32" t="s">
        <v>16</v>
      </c>
      <c r="D7" s="43" t="s">
        <v>87</v>
      </c>
      <c r="E7" s="32" t="s">
        <v>40</v>
      </c>
      <c r="F7" s="32" t="s">
        <v>16</v>
      </c>
      <c r="G7" s="42" t="s">
        <v>121</v>
      </c>
      <c r="H7" s="32" t="s">
        <v>40</v>
      </c>
    </row>
    <row r="8" spans="1:8" ht="15" customHeight="1">
      <c r="A8" s="32" t="s">
        <v>70</v>
      </c>
      <c r="B8" s="56" t="s">
        <v>127</v>
      </c>
      <c r="C8" s="45" t="s">
        <v>8</v>
      </c>
      <c r="D8" s="112">
        <v>18522</v>
      </c>
      <c r="E8" s="57">
        <f>ROUND(C8/$D$8*100,1)</f>
        <v>0</v>
      </c>
      <c r="F8" s="45" t="s">
        <v>8</v>
      </c>
      <c r="G8" s="112">
        <v>1176634</v>
      </c>
      <c r="H8" s="57">
        <f>ROUND(F8/$G$8*100,1)</f>
        <v>0</v>
      </c>
    </row>
    <row r="9" spans="1:8" ht="15" customHeight="1">
      <c r="A9" s="32" t="s">
        <v>71</v>
      </c>
      <c r="B9" s="56" t="s">
        <v>128</v>
      </c>
      <c r="C9" s="45" t="s">
        <v>8</v>
      </c>
      <c r="D9" s="113"/>
      <c r="E9" s="57">
        <f>ROUND(C9/$D$8*100,1)</f>
        <v>0</v>
      </c>
      <c r="F9" s="45" t="s">
        <v>8</v>
      </c>
      <c r="G9" s="113"/>
      <c r="H9" s="57">
        <f t="shared" ref="H9:H13" si="0">ROUND(F9/$G$8*100,1)</f>
        <v>0</v>
      </c>
    </row>
    <row r="10" spans="1:8" ht="15" customHeight="1">
      <c r="A10" s="32" t="s">
        <v>72</v>
      </c>
      <c r="B10" s="56" t="s">
        <v>129</v>
      </c>
      <c r="C10" s="45" t="s">
        <v>8</v>
      </c>
      <c r="D10" s="113"/>
      <c r="E10" s="57">
        <f t="shared" ref="E10:E13" si="1">ROUND(C10/$D$8*100,1)</f>
        <v>0</v>
      </c>
      <c r="F10" s="45" t="s">
        <v>8</v>
      </c>
      <c r="G10" s="113"/>
      <c r="H10" s="57">
        <f t="shared" si="0"/>
        <v>0</v>
      </c>
    </row>
    <row r="11" spans="1:8" ht="15" customHeight="1">
      <c r="A11" s="32" t="s">
        <v>73</v>
      </c>
      <c r="B11" s="56" t="s">
        <v>130</v>
      </c>
      <c r="C11" s="45" t="s">
        <v>8</v>
      </c>
      <c r="D11" s="113"/>
      <c r="E11" s="57">
        <f t="shared" si="1"/>
        <v>0</v>
      </c>
      <c r="F11" s="45" t="s">
        <v>8</v>
      </c>
      <c r="G11" s="113"/>
      <c r="H11" s="57">
        <f t="shared" si="0"/>
        <v>0</v>
      </c>
    </row>
    <row r="12" spans="1:8" ht="15" customHeight="1">
      <c r="A12" s="32" t="s">
        <v>74</v>
      </c>
      <c r="B12" s="56" t="s">
        <v>131</v>
      </c>
      <c r="C12" s="45" t="s">
        <v>8</v>
      </c>
      <c r="D12" s="113"/>
      <c r="E12" s="57">
        <f t="shared" si="1"/>
        <v>0</v>
      </c>
      <c r="F12" s="45" t="s">
        <v>8</v>
      </c>
      <c r="G12" s="113"/>
      <c r="H12" s="57">
        <f t="shared" si="0"/>
        <v>0</v>
      </c>
    </row>
    <row r="13" spans="1:8" ht="15" customHeight="1">
      <c r="A13" s="32" t="s">
        <v>75</v>
      </c>
      <c r="B13" s="56" t="s">
        <v>132</v>
      </c>
      <c r="C13" s="45" t="s">
        <v>8</v>
      </c>
      <c r="D13" s="113"/>
      <c r="E13" s="57">
        <f t="shared" si="1"/>
        <v>0</v>
      </c>
      <c r="F13" s="45" t="s">
        <v>8</v>
      </c>
      <c r="G13" s="113"/>
      <c r="H13" s="57">
        <f t="shared" si="0"/>
        <v>0</v>
      </c>
    </row>
    <row r="14" spans="1:8" ht="15">
      <c r="A14" s="58" t="s">
        <v>76</v>
      </c>
      <c r="B14" s="56" t="s">
        <v>77</v>
      </c>
      <c r="C14" s="45" t="s">
        <v>8</v>
      </c>
      <c r="D14" s="113"/>
      <c r="E14" s="57">
        <f t="shared" ref="E14" si="2">ROUND(C14/$D$8*100,1)</f>
        <v>0</v>
      </c>
      <c r="F14" s="45" t="s">
        <v>8</v>
      </c>
      <c r="G14" s="113"/>
      <c r="H14" s="57">
        <f t="shared" ref="H14" si="3">ROUND(F14/$G$8*100,1)</f>
        <v>0</v>
      </c>
    </row>
    <row r="15" spans="1:8" ht="15" customHeight="1">
      <c r="D15" s="59"/>
    </row>
  </sheetData>
  <mergeCells count="8">
    <mergeCell ref="G8:G14"/>
    <mergeCell ref="A2:C2"/>
    <mergeCell ref="A6:A7"/>
    <mergeCell ref="B6:B7"/>
    <mergeCell ref="F6:H6"/>
    <mergeCell ref="A5:H5"/>
    <mergeCell ref="C6:E6"/>
    <mergeCell ref="D8:D14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6" orientation="portrait" r:id="rId1"/>
  <headerFooter>
    <oddHeader>&amp;C 1632MV7生物分析方法学验证数据</oddHeader>
    <oddFooter>&amp;C第&amp;P页，共&amp;N页</oddFooter>
  </headerFooter>
  <ignoredErrors>
    <ignoredError sqref="C8:G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2:T19"/>
  <sheetViews>
    <sheetView tabSelected="1" view="pageBreakPreview" zoomScaleNormal="100" zoomScaleSheetLayoutView="100" workbookViewId="0">
      <selection activeCell="C25" sqref="C25"/>
    </sheetView>
  </sheetViews>
  <sheetFormatPr defaultColWidth="8.875" defaultRowHeight="13.5"/>
  <cols>
    <col min="1" max="1" width="11.125" style="61" customWidth="1"/>
    <col min="2" max="2" width="9.625" style="61" customWidth="1"/>
    <col min="3" max="3" width="34.375" style="62" customWidth="1"/>
    <col min="4" max="4" width="21" style="61" customWidth="1"/>
    <col min="5" max="5" width="33.25" style="61" customWidth="1"/>
    <col min="6" max="6" width="18.5" style="61" customWidth="1"/>
    <col min="7" max="7" width="19.375" style="61" customWidth="1"/>
    <col min="8" max="16384" width="8.875" style="61"/>
  </cols>
  <sheetData>
    <row r="2" spans="1:20">
      <c r="A2" s="114" t="s">
        <v>200</v>
      </c>
      <c r="B2" s="114"/>
      <c r="C2" s="114"/>
    </row>
    <row r="3" spans="1:20">
      <c r="A3" s="12"/>
      <c r="B3" s="12"/>
      <c r="C3" s="12"/>
      <c r="G3" s="62"/>
    </row>
    <row r="4" spans="1:20">
      <c r="A4" s="61" t="s">
        <v>191</v>
      </c>
      <c r="C4" s="61"/>
      <c r="D4" s="10"/>
      <c r="E4" s="10"/>
      <c r="F4" s="10"/>
      <c r="G4" s="62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5.75" customHeight="1">
      <c r="A5" s="115" t="s">
        <v>25</v>
      </c>
      <c r="B5" s="115" t="s">
        <v>190</v>
      </c>
      <c r="C5" s="115" t="s">
        <v>9</v>
      </c>
      <c r="D5" s="115" t="s">
        <v>122</v>
      </c>
      <c r="E5" s="115" t="s">
        <v>123</v>
      </c>
      <c r="F5" s="115" t="s">
        <v>192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.75" customHeight="1">
      <c r="A6" s="115"/>
      <c r="B6" s="115"/>
      <c r="C6" s="115"/>
      <c r="D6" s="115"/>
      <c r="E6" s="115"/>
      <c r="F6" s="115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ht="15.75" customHeight="1">
      <c r="A7" s="124">
        <v>45532</v>
      </c>
      <c r="B7" s="115">
        <v>1</v>
      </c>
      <c r="C7" s="60" t="s">
        <v>193</v>
      </c>
      <c r="D7" s="45">
        <v>0</v>
      </c>
      <c r="E7" s="120">
        <v>1829047</v>
      </c>
      <c r="F7" s="121">
        <f>ROUND(AVERAGE(D7:D9)/E7*100,1)</f>
        <v>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5.75" customHeight="1">
      <c r="A8" s="124"/>
      <c r="B8" s="115"/>
      <c r="C8" s="60" t="s">
        <v>194</v>
      </c>
      <c r="D8" s="45">
        <v>0</v>
      </c>
      <c r="E8" s="120"/>
      <c r="F8" s="122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5.75" customHeight="1">
      <c r="A9" s="124"/>
      <c r="B9" s="115"/>
      <c r="C9" s="60" t="s">
        <v>195</v>
      </c>
      <c r="D9" s="45">
        <v>0</v>
      </c>
      <c r="E9" s="120"/>
      <c r="F9" s="123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>
      <c r="B10" s="18"/>
      <c r="C10" s="19"/>
      <c r="D10" s="10"/>
      <c r="E10" s="63"/>
      <c r="F10" s="64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>
      <c r="B11" s="18"/>
      <c r="C11" s="19"/>
      <c r="D11" s="10"/>
      <c r="E11" s="63"/>
      <c r="F11" s="6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>
      <c r="A12" s="114" t="s">
        <v>196</v>
      </c>
      <c r="B12" s="114"/>
      <c r="C12" s="114"/>
      <c r="D12" s="10"/>
      <c r="F12" s="10"/>
      <c r="G12" s="65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15.75" customHeight="1">
      <c r="A13" s="115" t="s">
        <v>25</v>
      </c>
      <c r="B13" s="115" t="s">
        <v>190</v>
      </c>
      <c r="C13" s="115" t="s">
        <v>9</v>
      </c>
      <c r="D13" s="115" t="s">
        <v>197</v>
      </c>
      <c r="E13" s="115" t="s">
        <v>198</v>
      </c>
      <c r="F13" s="115" t="s">
        <v>199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ht="15.75" customHeight="1">
      <c r="A14" s="115"/>
      <c r="B14" s="115"/>
      <c r="C14" s="115"/>
      <c r="D14" s="115"/>
      <c r="E14" s="115"/>
      <c r="F14" s="1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15.75" customHeight="1">
      <c r="A15" s="124">
        <v>45532</v>
      </c>
      <c r="B15" s="115">
        <v>1</v>
      </c>
      <c r="C15" s="60" t="s">
        <v>124</v>
      </c>
      <c r="D15" s="45">
        <v>0</v>
      </c>
      <c r="E15" s="119">
        <v>17279</v>
      </c>
      <c r="F15" s="121">
        <f>ROUND(AVERAGE(D15:D17)/E15*100,1)</f>
        <v>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ht="15.75" customHeight="1">
      <c r="A16" s="124"/>
      <c r="B16" s="115"/>
      <c r="C16" s="60" t="s">
        <v>125</v>
      </c>
      <c r="D16" s="45">
        <v>0</v>
      </c>
      <c r="E16" s="119"/>
      <c r="F16" s="122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15.75" customHeight="1">
      <c r="A17" s="124"/>
      <c r="B17" s="115"/>
      <c r="C17" s="60" t="s">
        <v>126</v>
      </c>
      <c r="D17" s="45">
        <v>0</v>
      </c>
      <c r="E17" s="119"/>
      <c r="F17" s="123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>
      <c r="B18" s="9"/>
      <c r="C18" s="15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>
      <c r="B19" s="9"/>
      <c r="C19" s="15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</sheetData>
  <mergeCells count="22">
    <mergeCell ref="A13:A14"/>
    <mergeCell ref="A15:A17"/>
    <mergeCell ref="B13:B14"/>
    <mergeCell ref="C13:C14"/>
    <mergeCell ref="A2:C2"/>
    <mergeCell ref="A12:C12"/>
    <mergeCell ref="A5:A6"/>
    <mergeCell ref="A7:A9"/>
    <mergeCell ref="B5:B6"/>
    <mergeCell ref="C5:C6"/>
    <mergeCell ref="D5:D6"/>
    <mergeCell ref="E5:E6"/>
    <mergeCell ref="F5:F6"/>
    <mergeCell ref="B7:B9"/>
    <mergeCell ref="E15:E17"/>
    <mergeCell ref="E7:E9"/>
    <mergeCell ref="D13:D14"/>
    <mergeCell ref="E13:E14"/>
    <mergeCell ref="F13:F14"/>
    <mergeCell ref="B15:B17"/>
    <mergeCell ref="F7:F9"/>
    <mergeCell ref="F15:F17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I61"/>
  <sheetViews>
    <sheetView view="pageBreakPreview" topLeftCell="A37" zoomScaleSheetLayoutView="100" workbookViewId="0">
      <selection activeCell="C66" sqref="C66"/>
    </sheetView>
  </sheetViews>
  <sheetFormatPr defaultColWidth="9" defaultRowHeight="15.75" customHeight="1"/>
  <cols>
    <col min="1" max="1" width="34.875" style="21" bestFit="1" customWidth="1"/>
    <col min="2" max="5" width="16.625" style="21" customWidth="1"/>
    <col min="6" max="222" width="13.5" style="21" customWidth="1"/>
    <col min="223" max="16384" width="9" style="21"/>
  </cols>
  <sheetData>
    <row r="2" spans="1:9" ht="15.75" customHeight="1">
      <c r="A2" s="66" t="s">
        <v>68</v>
      </c>
    </row>
    <row r="3" spans="1:9" ht="15.75" customHeight="1">
      <c r="A3" s="6"/>
    </row>
    <row r="4" spans="1:9" ht="15.75" customHeight="1">
      <c r="A4" s="126" t="s">
        <v>139</v>
      </c>
      <c r="B4" s="127"/>
      <c r="C4" s="128"/>
      <c r="D4" s="126" t="s">
        <v>140</v>
      </c>
      <c r="E4" s="128"/>
    </row>
    <row r="5" spans="1:9" ht="15.75" customHeight="1">
      <c r="A5" s="115" t="s">
        <v>64</v>
      </c>
      <c r="B5" s="32" t="s">
        <v>7</v>
      </c>
      <c r="C5" s="129" t="s">
        <v>65</v>
      </c>
      <c r="D5" s="43" t="s">
        <v>1</v>
      </c>
      <c r="E5" s="129" t="s">
        <v>65</v>
      </c>
    </row>
    <row r="6" spans="1:9" ht="15.75" customHeight="1">
      <c r="A6" s="115"/>
      <c r="B6" s="67">
        <v>0.6</v>
      </c>
      <c r="C6" s="130"/>
      <c r="D6" s="67">
        <v>75</v>
      </c>
      <c r="E6" s="130"/>
      <c r="F6"/>
    </row>
    <row r="7" spans="1:9" ht="15.75" customHeight="1">
      <c r="A7" s="115"/>
      <c r="B7" s="33" t="s">
        <v>69</v>
      </c>
      <c r="C7" s="131"/>
      <c r="D7" s="33" t="s">
        <v>69</v>
      </c>
      <c r="E7" s="131"/>
      <c r="F7"/>
    </row>
    <row r="8" spans="1:9" ht="15.75" customHeight="1">
      <c r="A8" s="125" t="s">
        <v>133</v>
      </c>
      <c r="B8" s="68">
        <v>0.61299999999999999</v>
      </c>
      <c r="C8" s="8">
        <f>ROUND((B8-B$6)/B$6*100,1)</f>
        <v>2.2000000000000002</v>
      </c>
      <c r="D8" s="68">
        <v>78.722999999999999</v>
      </c>
      <c r="E8" s="8">
        <f>ROUND((D8-D$6)/D$6*100,1)</f>
        <v>5</v>
      </c>
      <c r="F8"/>
    </row>
    <row r="9" spans="1:9" ht="15.75" customHeight="1">
      <c r="A9" s="125"/>
      <c r="B9" s="68">
        <v>0.59</v>
      </c>
      <c r="C9" s="8">
        <f>ROUND((B9-B$6)/B$6*100,1)</f>
        <v>-1.7</v>
      </c>
      <c r="D9" s="68">
        <v>75.418000000000006</v>
      </c>
      <c r="E9" s="8">
        <f>ROUND((D9-D$6)/D$6*100,1)</f>
        <v>0.6</v>
      </c>
      <c r="F9"/>
    </row>
    <row r="10" spans="1:9" ht="15.75" customHeight="1">
      <c r="A10" s="125"/>
      <c r="B10" s="68">
        <v>0.64700000000000002</v>
      </c>
      <c r="C10" s="8">
        <f>ROUND((B10-B$6)/B$6*100,1)</f>
        <v>7.8</v>
      </c>
      <c r="D10" s="68">
        <v>81.475999999999999</v>
      </c>
      <c r="E10" s="8">
        <f>ROUND((D10-D$6)/D$6*100,1)</f>
        <v>8.6</v>
      </c>
      <c r="G10" s="40"/>
      <c r="H10" s="39" t="s">
        <v>78</v>
      </c>
      <c r="I10" s="38" t="s">
        <v>79</v>
      </c>
    </row>
    <row r="11" spans="1:9" ht="15.75" customHeight="1">
      <c r="A11" s="32" t="s">
        <v>17</v>
      </c>
      <c r="B11" s="7">
        <f>ROUND(AVERAGE(B8:B10),3)</f>
        <v>0.61699999999999999</v>
      </c>
      <c r="C11" s="133"/>
      <c r="D11" s="7">
        <f>ROUND(AVERAGE(D8:D10),3)</f>
        <v>78.539000000000001</v>
      </c>
      <c r="E11" s="133"/>
      <c r="G11" s="32" t="s">
        <v>66</v>
      </c>
      <c r="H11" s="41"/>
      <c r="I11" s="37">
        <f>MAX(B13,D13,B22,D22,B31,D31,B40,D40,B49,D49,B58,D58)</f>
        <v>4.7</v>
      </c>
    </row>
    <row r="12" spans="1:9" ht="15.75" customHeight="1">
      <c r="A12" s="32" t="s">
        <v>4</v>
      </c>
      <c r="B12" s="7">
        <f>ROUND(STDEV(B8:B10),3)</f>
        <v>2.9000000000000001E-2</v>
      </c>
      <c r="C12" s="134"/>
      <c r="D12" s="7">
        <f>ROUND(STDEV(D8:D10),3)</f>
        <v>3.0329999999999999</v>
      </c>
      <c r="E12" s="134"/>
      <c r="G12" s="32" t="s">
        <v>65</v>
      </c>
      <c r="H12" s="36">
        <f>MIN(B15,D15,B24,D24,B33,D33,B42,D42,B51,D51,B60,D60)</f>
        <v>-0.7</v>
      </c>
      <c r="I12" s="36">
        <f>MAX(B15,D15,B24,D24,B33,D33,B42,D42,B51,D51,B60,D60)</f>
        <v>11.5</v>
      </c>
    </row>
    <row r="13" spans="1:9" ht="15.75" customHeight="1">
      <c r="A13" s="32" t="s">
        <v>66</v>
      </c>
      <c r="B13" s="8">
        <f>ROUND(B12/B11*100,1)</f>
        <v>4.7</v>
      </c>
      <c r="C13" s="134"/>
      <c r="D13" s="8">
        <f>ROUND(D12/D11*100,1)</f>
        <v>3.9</v>
      </c>
      <c r="E13" s="134"/>
    </row>
    <row r="14" spans="1:9" ht="15.75" customHeight="1">
      <c r="A14" s="32" t="s">
        <v>67</v>
      </c>
      <c r="B14" s="8">
        <f>ROUND(B11/B$6*100,1)</f>
        <v>102.8</v>
      </c>
      <c r="C14" s="134"/>
      <c r="D14" s="8">
        <f>ROUND(D11/D$6*100,1)</f>
        <v>104.7</v>
      </c>
      <c r="E14" s="134"/>
    </row>
    <row r="15" spans="1:9" ht="15.75" customHeight="1">
      <c r="A15" s="32" t="s">
        <v>65</v>
      </c>
      <c r="B15" s="8">
        <f>ROUND((B11-B$6)/B$6*100,1)</f>
        <v>2.8</v>
      </c>
      <c r="C15" s="134"/>
      <c r="D15" s="8">
        <f>ROUND((D11-D$6)/D$6*100,1)</f>
        <v>4.7</v>
      </c>
      <c r="E15" s="134"/>
    </row>
    <row r="16" spans="1:9" ht="15.75" customHeight="1">
      <c r="A16" s="32" t="s">
        <v>5</v>
      </c>
      <c r="B16" s="32">
        <v>3</v>
      </c>
      <c r="C16" s="135"/>
      <c r="D16" s="32">
        <v>3</v>
      </c>
      <c r="E16" s="135"/>
    </row>
    <row r="17" spans="1:7" ht="15.75" customHeight="1">
      <c r="A17" s="125" t="s">
        <v>134</v>
      </c>
      <c r="B17" s="68">
        <v>0.61</v>
      </c>
      <c r="C17" s="8">
        <f>ROUND((B17-B$6)/B$6*100,1)</f>
        <v>1.7</v>
      </c>
      <c r="D17" s="68">
        <v>73.506</v>
      </c>
      <c r="E17" s="8">
        <f>ROUND((D17-D$6)/D$6*100,1)</f>
        <v>-2</v>
      </c>
    </row>
    <row r="18" spans="1:7" ht="15.75" customHeight="1">
      <c r="A18" s="125"/>
      <c r="B18" s="68">
        <v>0.58399999999999996</v>
      </c>
      <c r="C18" s="8">
        <f>ROUND((B18-B$6)/B$6*100,1)</f>
        <v>-2.7</v>
      </c>
      <c r="D18" s="68">
        <v>79.861000000000004</v>
      </c>
      <c r="E18" s="8">
        <f>ROUND((D18-D$6)/D$6*100,1)</f>
        <v>6.5</v>
      </c>
    </row>
    <row r="19" spans="1:7" ht="13.5">
      <c r="A19" s="125"/>
      <c r="B19" s="68">
        <v>0.59499999999999997</v>
      </c>
      <c r="C19" s="8">
        <f>ROUND((B19-B$6)/B$6*100,1)</f>
        <v>-0.8</v>
      </c>
      <c r="D19" s="68">
        <v>78.522000000000006</v>
      </c>
      <c r="E19" s="8">
        <f>ROUND((D19-D$6)/D$6*100,1)</f>
        <v>4.7</v>
      </c>
    </row>
    <row r="20" spans="1:7" ht="15.75" customHeight="1">
      <c r="A20" s="32" t="s">
        <v>17</v>
      </c>
      <c r="B20" s="7">
        <f>ROUND(AVERAGE(B17:B19),3)</f>
        <v>0.59599999999999997</v>
      </c>
      <c r="C20" s="133"/>
      <c r="D20" s="7">
        <f>ROUND(AVERAGE(D17:D19),3)</f>
        <v>77.296000000000006</v>
      </c>
      <c r="E20" s="133"/>
      <c r="G20"/>
    </row>
    <row r="21" spans="1:7" ht="15.75" customHeight="1">
      <c r="A21" s="32" t="s">
        <v>4</v>
      </c>
      <c r="B21" s="7">
        <f>ROUND(STDEV(B17:B19),3)</f>
        <v>1.2999999999999999E-2</v>
      </c>
      <c r="C21" s="134"/>
      <c r="D21" s="7">
        <f>ROUND(STDEV(D17:D19),3)</f>
        <v>3.35</v>
      </c>
      <c r="E21" s="134"/>
      <c r="G21"/>
    </row>
    <row r="22" spans="1:7" ht="15.75" customHeight="1">
      <c r="A22" s="32" t="s">
        <v>66</v>
      </c>
      <c r="B22" s="8">
        <f>ROUND(B21/B20*100,1)</f>
        <v>2.2000000000000002</v>
      </c>
      <c r="C22" s="134"/>
      <c r="D22" s="8">
        <f>ROUND(D21/D20*100,1)</f>
        <v>4.3</v>
      </c>
      <c r="E22" s="134"/>
      <c r="G22"/>
    </row>
    <row r="23" spans="1:7" ht="15.75" customHeight="1">
      <c r="A23" s="32" t="s">
        <v>67</v>
      </c>
      <c r="B23" s="8">
        <f>ROUND(B20/B$6*100,1)</f>
        <v>99.3</v>
      </c>
      <c r="C23" s="134"/>
      <c r="D23" s="8">
        <f>ROUND(D20/D$6*100,1)</f>
        <v>103.1</v>
      </c>
      <c r="E23" s="134"/>
      <c r="G23"/>
    </row>
    <row r="24" spans="1:7" ht="15.75" customHeight="1">
      <c r="A24" s="32" t="s">
        <v>65</v>
      </c>
      <c r="B24" s="8">
        <f>ROUND((B20-B$6)/B$6*100,1)</f>
        <v>-0.7</v>
      </c>
      <c r="C24" s="134"/>
      <c r="D24" s="8">
        <f>ROUND((D20-D$6)/D$6*100,1)</f>
        <v>3.1</v>
      </c>
      <c r="E24" s="134"/>
    </row>
    <row r="25" spans="1:7" ht="15.75" customHeight="1">
      <c r="A25" s="32" t="s">
        <v>5</v>
      </c>
      <c r="B25" s="32">
        <v>3</v>
      </c>
      <c r="C25" s="135"/>
      <c r="D25" s="32">
        <v>3</v>
      </c>
      <c r="E25" s="135"/>
    </row>
    <row r="26" spans="1:7" ht="15.75" customHeight="1">
      <c r="A26" s="119" t="s">
        <v>135</v>
      </c>
      <c r="B26" s="68">
        <v>0.64</v>
      </c>
      <c r="C26" s="8">
        <f>ROUND((B26-B$6)/B$6*100,1)</f>
        <v>6.7</v>
      </c>
      <c r="D26" s="68">
        <v>80.274000000000001</v>
      </c>
      <c r="E26" s="8">
        <f>ROUND((D26-D$6)/D$6*100,1)</f>
        <v>7</v>
      </c>
    </row>
    <row r="27" spans="1:7" ht="15.75" customHeight="1">
      <c r="A27" s="119"/>
      <c r="B27" s="68">
        <v>0.621</v>
      </c>
      <c r="C27" s="8">
        <f>ROUND((B27-B$6)/B$6*100,1)</f>
        <v>3.5</v>
      </c>
      <c r="D27" s="68">
        <v>79.893000000000001</v>
      </c>
      <c r="E27" s="8">
        <f>ROUND((D27-D$6)/D$6*100,1)</f>
        <v>6.5</v>
      </c>
    </row>
    <row r="28" spans="1:7" ht="15.75" customHeight="1">
      <c r="A28" s="119"/>
      <c r="B28" s="68">
        <v>0.63200000000000001</v>
      </c>
      <c r="C28" s="8">
        <f>ROUND((B28-B$6)/B$6*100,1)</f>
        <v>5.3</v>
      </c>
      <c r="D28" s="68">
        <v>77.188000000000002</v>
      </c>
      <c r="E28" s="8">
        <f>ROUND((D28-D$6)/D$6*100,1)</f>
        <v>2.9</v>
      </c>
    </row>
    <row r="29" spans="1:7" ht="15.75" customHeight="1">
      <c r="A29" s="32" t="s">
        <v>17</v>
      </c>
      <c r="B29" s="7">
        <f>ROUND(AVERAGE(B26:B28),3)</f>
        <v>0.63100000000000001</v>
      </c>
      <c r="C29" s="133"/>
      <c r="D29" s="7">
        <f>ROUND(AVERAGE(D26:D28),3)</f>
        <v>79.117999999999995</v>
      </c>
      <c r="E29" s="133"/>
    </row>
    <row r="30" spans="1:7" ht="15.75" customHeight="1">
      <c r="A30" s="32" t="s">
        <v>4</v>
      </c>
      <c r="B30" s="7">
        <f>ROUND(STDEV(B26:B28),3)</f>
        <v>0.01</v>
      </c>
      <c r="C30" s="134"/>
      <c r="D30" s="7">
        <f>ROUND(STDEV(D26:D28),3)</f>
        <v>1.6830000000000001</v>
      </c>
      <c r="E30" s="134"/>
    </row>
    <row r="31" spans="1:7" ht="15.75" customHeight="1">
      <c r="A31" s="32" t="s">
        <v>66</v>
      </c>
      <c r="B31" s="8">
        <f>ROUND(B30/B29*100,1)</f>
        <v>1.6</v>
      </c>
      <c r="C31" s="134"/>
      <c r="D31" s="8">
        <f>ROUND(D30/D29*100,1)</f>
        <v>2.1</v>
      </c>
      <c r="E31" s="134"/>
    </row>
    <row r="32" spans="1:7" ht="15.75" customHeight="1">
      <c r="A32" s="32" t="s">
        <v>67</v>
      </c>
      <c r="B32" s="8">
        <f>ROUND(B29/B$6*100,1)</f>
        <v>105.2</v>
      </c>
      <c r="C32" s="134"/>
      <c r="D32" s="8">
        <f>ROUND(D29/D$6*100,1)</f>
        <v>105.5</v>
      </c>
      <c r="E32" s="134"/>
    </row>
    <row r="33" spans="1:5" ht="15.75" customHeight="1">
      <c r="A33" s="32" t="s">
        <v>65</v>
      </c>
      <c r="B33" s="8">
        <f>ROUND((B29-B$6)/B$6*100,1)</f>
        <v>5.2</v>
      </c>
      <c r="C33" s="134"/>
      <c r="D33" s="8">
        <f>ROUND((D29-D$6)/D$6*100,1)</f>
        <v>5.5</v>
      </c>
      <c r="E33" s="134"/>
    </row>
    <row r="34" spans="1:5" ht="15.75" customHeight="1">
      <c r="A34" s="32" t="s">
        <v>5</v>
      </c>
      <c r="B34" s="32">
        <v>3</v>
      </c>
      <c r="C34" s="135"/>
      <c r="D34" s="32">
        <v>3</v>
      </c>
      <c r="E34" s="135"/>
    </row>
    <row r="35" spans="1:5" ht="15.75" customHeight="1">
      <c r="A35" s="119" t="s">
        <v>136</v>
      </c>
      <c r="B35" s="68">
        <v>0.65400000000000003</v>
      </c>
      <c r="C35" s="8">
        <f>ROUND((B35-B$6)/B$6*100,1)</f>
        <v>9</v>
      </c>
      <c r="D35" s="68">
        <v>83.034000000000006</v>
      </c>
      <c r="E35" s="8">
        <f>ROUND((D35-D$6)/D$6*100,1)</f>
        <v>10.7</v>
      </c>
    </row>
    <row r="36" spans="1:5" ht="15.75" customHeight="1">
      <c r="A36" s="119"/>
      <c r="B36" s="68">
        <v>0.63700000000000001</v>
      </c>
      <c r="C36" s="8">
        <f>ROUND((B36-B$6)/B$6*100,1)</f>
        <v>6.2</v>
      </c>
      <c r="D36" s="68">
        <v>85.207999999999998</v>
      </c>
      <c r="E36" s="8">
        <f>ROUND((D36-D$6)/D$6*100,1)</f>
        <v>13.6</v>
      </c>
    </row>
    <row r="37" spans="1:5" ht="15.75" customHeight="1">
      <c r="A37" s="119"/>
      <c r="B37" s="68">
        <v>0.63600000000000001</v>
      </c>
      <c r="C37" s="8">
        <f>ROUND((B37-B$6)/B$6*100,1)</f>
        <v>6</v>
      </c>
      <c r="D37" s="68">
        <v>82.606999999999999</v>
      </c>
      <c r="E37" s="8">
        <f>ROUND((D37-D$6)/D$6*100,1)</f>
        <v>10.1</v>
      </c>
    </row>
    <row r="38" spans="1:5" ht="15.75" customHeight="1">
      <c r="A38" s="32" t="s">
        <v>17</v>
      </c>
      <c r="B38" s="7">
        <f>ROUND(AVERAGE(B35:B37),3)</f>
        <v>0.64200000000000002</v>
      </c>
      <c r="C38" s="133"/>
      <c r="D38" s="7">
        <f>ROUND(AVERAGE(D35:D37),3)</f>
        <v>83.616</v>
      </c>
      <c r="E38" s="133"/>
    </row>
    <row r="39" spans="1:5" ht="15.75" customHeight="1">
      <c r="A39" s="32" t="s">
        <v>4</v>
      </c>
      <c r="B39" s="7">
        <f>ROUND(STDEV(B35:B37),3)</f>
        <v>0.01</v>
      </c>
      <c r="C39" s="134"/>
      <c r="D39" s="7">
        <f>ROUND(STDEV(D35:D37),3)</f>
        <v>1.395</v>
      </c>
      <c r="E39" s="134"/>
    </row>
    <row r="40" spans="1:5" ht="15.75" customHeight="1">
      <c r="A40" s="32" t="s">
        <v>66</v>
      </c>
      <c r="B40" s="8">
        <f>ROUND(B39/B38*100,1)</f>
        <v>1.6</v>
      </c>
      <c r="C40" s="134"/>
      <c r="D40" s="8">
        <f>ROUND(D39/D38*100,1)</f>
        <v>1.7</v>
      </c>
      <c r="E40" s="134"/>
    </row>
    <row r="41" spans="1:5" ht="15.75" customHeight="1">
      <c r="A41" s="32" t="s">
        <v>67</v>
      </c>
      <c r="B41" s="8">
        <f>ROUND(B38/B$6*100,1)</f>
        <v>107</v>
      </c>
      <c r="C41" s="134"/>
      <c r="D41" s="8">
        <f>ROUND(D38/D$6*100,1)</f>
        <v>111.5</v>
      </c>
      <c r="E41" s="134"/>
    </row>
    <row r="42" spans="1:5" ht="15.75" customHeight="1">
      <c r="A42" s="32" t="s">
        <v>65</v>
      </c>
      <c r="B42" s="8">
        <f>ROUND((B38-B$6)/B$6*100,1)</f>
        <v>7</v>
      </c>
      <c r="C42" s="134"/>
      <c r="D42" s="8">
        <f>ROUND((D38-D$6)/D$6*100,1)</f>
        <v>11.5</v>
      </c>
      <c r="E42" s="134"/>
    </row>
    <row r="43" spans="1:5" ht="15.75" customHeight="1">
      <c r="A43" s="32" t="s">
        <v>5</v>
      </c>
      <c r="B43" s="32">
        <v>3</v>
      </c>
      <c r="C43" s="135"/>
      <c r="D43" s="32">
        <v>3</v>
      </c>
      <c r="E43" s="135"/>
    </row>
    <row r="44" spans="1:5" ht="15.75" customHeight="1">
      <c r="A44" s="132" t="s">
        <v>137</v>
      </c>
      <c r="B44" s="68">
        <v>0.61799999999999999</v>
      </c>
      <c r="C44" s="8">
        <f>ROUND((B44-B$6)/B$6*100,1)</f>
        <v>3</v>
      </c>
      <c r="D44" s="68">
        <v>81.593999999999994</v>
      </c>
      <c r="E44" s="8">
        <f>ROUND((D44-D$6)/D$6*100,1)</f>
        <v>8.8000000000000007</v>
      </c>
    </row>
    <row r="45" spans="1:5" ht="15.75" customHeight="1">
      <c r="A45" s="132"/>
      <c r="B45" s="68">
        <v>0.60499999999999998</v>
      </c>
      <c r="C45" s="8">
        <f>ROUND((B45-B$6)/B$6*100,1)</f>
        <v>0.8</v>
      </c>
      <c r="D45" s="68">
        <v>84.858000000000004</v>
      </c>
      <c r="E45" s="8">
        <f>ROUND((D45-D$6)/D$6*100,1)</f>
        <v>13.1</v>
      </c>
    </row>
    <row r="46" spans="1:5" ht="15.75" customHeight="1">
      <c r="A46" s="132"/>
      <c r="B46" s="68">
        <v>0.59899999999999998</v>
      </c>
      <c r="C46" s="8">
        <f>ROUND((B46-B$6)/B$6*100,1)</f>
        <v>-0.2</v>
      </c>
      <c r="D46" s="68">
        <v>81.346999999999994</v>
      </c>
      <c r="E46" s="8">
        <f>ROUND((D46-D$6)/D$6*100,1)</f>
        <v>8.5</v>
      </c>
    </row>
    <row r="47" spans="1:5" ht="15.75" customHeight="1">
      <c r="A47" s="32" t="s">
        <v>17</v>
      </c>
      <c r="B47" s="7">
        <f>ROUND(AVERAGE(B44:B46),3)</f>
        <v>0.60699999999999998</v>
      </c>
      <c r="C47" s="133"/>
      <c r="D47" s="7">
        <f>ROUND(AVERAGE(D44:D46),3)</f>
        <v>82.6</v>
      </c>
      <c r="E47" s="133"/>
    </row>
    <row r="48" spans="1:5" ht="15.75" customHeight="1">
      <c r="A48" s="32" t="s">
        <v>4</v>
      </c>
      <c r="B48" s="7">
        <f>ROUND(STDEV(B44:B46),3)</f>
        <v>0.01</v>
      </c>
      <c r="C48" s="134"/>
      <c r="D48" s="7">
        <f>ROUND(STDEV(D44:D46),3)</f>
        <v>1.96</v>
      </c>
      <c r="E48" s="134"/>
    </row>
    <row r="49" spans="1:5" ht="15.75" customHeight="1">
      <c r="A49" s="32" t="s">
        <v>66</v>
      </c>
      <c r="B49" s="8">
        <f>ROUND(B48/B47*100,1)</f>
        <v>1.6</v>
      </c>
      <c r="C49" s="134"/>
      <c r="D49" s="8">
        <f>ROUND(D48/D47*100,1)</f>
        <v>2.4</v>
      </c>
      <c r="E49" s="134"/>
    </row>
    <row r="50" spans="1:5" ht="15.75" customHeight="1">
      <c r="A50" s="32" t="s">
        <v>67</v>
      </c>
      <c r="B50" s="8">
        <f>ROUND(B47/B$6*100,1)</f>
        <v>101.2</v>
      </c>
      <c r="C50" s="134"/>
      <c r="D50" s="8">
        <f>ROUND(D47/D$6*100,1)</f>
        <v>110.1</v>
      </c>
      <c r="E50" s="134"/>
    </row>
    <row r="51" spans="1:5" ht="15.75" customHeight="1">
      <c r="A51" s="32" t="s">
        <v>65</v>
      </c>
      <c r="B51" s="8">
        <f>ROUND((B47-B$6)/B$6*100,1)</f>
        <v>1.2</v>
      </c>
      <c r="C51" s="134"/>
      <c r="D51" s="8">
        <f>ROUND((D47-D$6)/D$6*100,1)</f>
        <v>10.1</v>
      </c>
      <c r="E51" s="134"/>
    </row>
    <row r="52" spans="1:5" ht="15.75" customHeight="1">
      <c r="A52" s="32" t="s">
        <v>5</v>
      </c>
      <c r="B52" s="32">
        <v>3</v>
      </c>
      <c r="C52" s="135"/>
      <c r="D52" s="32">
        <v>3</v>
      </c>
      <c r="E52" s="135"/>
    </row>
    <row r="53" spans="1:5" ht="15.75" customHeight="1">
      <c r="A53" s="132" t="s">
        <v>138</v>
      </c>
      <c r="B53" s="68">
        <v>0.64100000000000001</v>
      </c>
      <c r="C53" s="8">
        <f>ROUND((B53-B$6)/B$6*100,1)</f>
        <v>6.8</v>
      </c>
      <c r="D53" s="68">
        <v>84.015000000000001</v>
      </c>
      <c r="E53" s="8">
        <f>ROUND((D53-D$6)/D$6*100,1)</f>
        <v>12</v>
      </c>
    </row>
    <row r="54" spans="1:5" ht="15.75" customHeight="1">
      <c r="A54" s="132"/>
      <c r="B54" s="68">
        <v>0.66100000000000003</v>
      </c>
      <c r="C54" s="8">
        <f>ROUND((B54-B$6)/B$6*100,1)</f>
        <v>10.199999999999999</v>
      </c>
      <c r="D54" s="68">
        <v>81.950999999999993</v>
      </c>
      <c r="E54" s="8">
        <f>ROUND((D54-D$6)/D$6*100,1)</f>
        <v>9.3000000000000007</v>
      </c>
    </row>
    <row r="55" spans="1:5" ht="15.75" customHeight="1">
      <c r="A55" s="132"/>
      <c r="B55" s="68">
        <v>0.65</v>
      </c>
      <c r="C55" s="8">
        <f>ROUND((B55-B$6)/B$6*100,1)</f>
        <v>8.3000000000000007</v>
      </c>
      <c r="D55" s="68">
        <v>83.718000000000004</v>
      </c>
      <c r="E55" s="8">
        <f>ROUND((D55-D$6)/D$6*100,1)</f>
        <v>11.6</v>
      </c>
    </row>
    <row r="56" spans="1:5" ht="15.75" customHeight="1">
      <c r="A56" s="32" t="s">
        <v>17</v>
      </c>
      <c r="B56" s="7">
        <f>ROUND(AVERAGE(B53:B55),3)</f>
        <v>0.65100000000000002</v>
      </c>
      <c r="C56" s="133"/>
      <c r="D56" s="7">
        <f>ROUND(AVERAGE(D53:D55),3)</f>
        <v>83.227999999999994</v>
      </c>
      <c r="E56" s="133"/>
    </row>
    <row r="57" spans="1:5" ht="15.75" customHeight="1">
      <c r="A57" s="32" t="s">
        <v>4</v>
      </c>
      <c r="B57" s="7">
        <f>ROUND(STDEV(B53:B55),3)</f>
        <v>0.01</v>
      </c>
      <c r="C57" s="134"/>
      <c r="D57" s="7">
        <f>ROUND(STDEV(D53:D55),3)</f>
        <v>1.1160000000000001</v>
      </c>
      <c r="E57" s="134"/>
    </row>
    <row r="58" spans="1:5" ht="15.75" customHeight="1">
      <c r="A58" s="32" t="s">
        <v>66</v>
      </c>
      <c r="B58" s="8">
        <f>ROUND(B57/B56*100,1)</f>
        <v>1.5</v>
      </c>
      <c r="C58" s="134"/>
      <c r="D58" s="8">
        <f>ROUND(D57/D56*100,1)</f>
        <v>1.3</v>
      </c>
      <c r="E58" s="134"/>
    </row>
    <row r="59" spans="1:5" ht="15.75" customHeight="1">
      <c r="A59" s="32" t="s">
        <v>67</v>
      </c>
      <c r="B59" s="8">
        <f>ROUND(B56/B$6*100,1)</f>
        <v>108.5</v>
      </c>
      <c r="C59" s="134"/>
      <c r="D59" s="8">
        <f>ROUND(D56/D$6*100,1)</f>
        <v>111</v>
      </c>
      <c r="E59" s="134"/>
    </row>
    <row r="60" spans="1:5" ht="15.75" customHeight="1">
      <c r="A60" s="32" t="s">
        <v>65</v>
      </c>
      <c r="B60" s="8">
        <f>ROUND((B56-B$6)/B$6*100,1)</f>
        <v>8.5</v>
      </c>
      <c r="C60" s="134"/>
      <c r="D60" s="8">
        <f>ROUND((D56-D$6)/D$6*100,1)</f>
        <v>11</v>
      </c>
      <c r="E60" s="134"/>
    </row>
    <row r="61" spans="1:5" ht="15.75" customHeight="1">
      <c r="A61" s="32" t="s">
        <v>5</v>
      </c>
      <c r="B61" s="32">
        <v>3</v>
      </c>
      <c r="C61" s="135"/>
      <c r="D61" s="32">
        <v>3</v>
      </c>
      <c r="E61" s="135"/>
    </row>
  </sheetData>
  <mergeCells count="23">
    <mergeCell ref="C47:C52"/>
    <mergeCell ref="E47:E52"/>
    <mergeCell ref="A53:A55"/>
    <mergeCell ref="C56:C61"/>
    <mergeCell ref="E56:E61"/>
    <mergeCell ref="A44:A46"/>
    <mergeCell ref="C11:C16"/>
    <mergeCell ref="E11:E16"/>
    <mergeCell ref="A17:A19"/>
    <mergeCell ref="C20:C25"/>
    <mergeCell ref="E20:E25"/>
    <mergeCell ref="A26:A28"/>
    <mergeCell ref="C29:C34"/>
    <mergeCell ref="E29:E34"/>
    <mergeCell ref="A35:A37"/>
    <mergeCell ref="C38:C43"/>
    <mergeCell ref="E38:E43"/>
    <mergeCell ref="A8:A10"/>
    <mergeCell ref="A4:C4"/>
    <mergeCell ref="D4:E4"/>
    <mergeCell ref="A5:A7"/>
    <mergeCell ref="C5:C7"/>
    <mergeCell ref="E5:E7"/>
  </mergeCells>
  <phoneticPr fontId="18" type="noConversion"/>
  <printOptions headings="1" gridLines="1"/>
  <pageMargins left="0.70866141732283472" right="0.70866141732283472" top="0.74803149606299213" bottom="0.74803149606299213" header="0.31496062992125984" footer="0.31496062992125984"/>
  <pageSetup scale="57" orientation="landscape" r:id="rId1"/>
  <headerFooter>
    <oddHeader>&amp;CSSC23009MV01验证数据汇总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2:P64"/>
  <sheetViews>
    <sheetView view="pageBreakPreview" topLeftCell="A34" zoomScaleNormal="100" zoomScaleSheetLayoutView="100" workbookViewId="0">
      <selection activeCell="F58" sqref="F58:F62"/>
    </sheetView>
  </sheetViews>
  <sheetFormatPr defaultColWidth="8.875" defaultRowHeight="13.5"/>
  <cols>
    <col min="1" max="1" width="21.125" style="10" customWidth="1"/>
    <col min="2" max="2" width="9.875" style="10" customWidth="1"/>
    <col min="3" max="10" width="10.875" style="10" customWidth="1"/>
    <col min="11" max="11" width="12.375" style="10" customWidth="1"/>
    <col min="12" max="12" width="12" style="10" customWidth="1"/>
    <col min="13" max="16384" width="8.875" style="10"/>
  </cols>
  <sheetData>
    <row r="2" spans="1:16">
      <c r="A2" s="114" t="s">
        <v>33</v>
      </c>
      <c r="B2" s="114"/>
      <c r="C2" s="114"/>
      <c r="D2" s="114"/>
      <c r="E2" s="114"/>
    </row>
    <row r="3" spans="1:16">
      <c r="A3" s="12"/>
      <c r="B3" s="12"/>
      <c r="C3" s="12"/>
      <c r="D3" s="12"/>
      <c r="E3" s="12"/>
    </row>
    <row r="4" spans="1:16">
      <c r="A4" s="140" t="s">
        <v>201</v>
      </c>
      <c r="B4" s="140"/>
      <c r="C4" s="140"/>
      <c r="D4" s="140"/>
      <c r="E4" s="140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1:16" ht="14.1" customHeight="1">
      <c r="A5" s="139" t="s">
        <v>12</v>
      </c>
      <c r="B5" s="139" t="s">
        <v>10</v>
      </c>
      <c r="C5" s="103" t="s">
        <v>0</v>
      </c>
      <c r="D5" s="139" t="s">
        <v>44</v>
      </c>
      <c r="E5" s="105" t="s">
        <v>3</v>
      </c>
      <c r="F5" s="139" t="s">
        <v>44</v>
      </c>
      <c r="G5" s="105" t="s">
        <v>62</v>
      </c>
      <c r="H5" s="139" t="s">
        <v>44</v>
      </c>
      <c r="I5" s="105" t="s">
        <v>63</v>
      </c>
      <c r="J5" s="139" t="s">
        <v>44</v>
      </c>
      <c r="K5" s="105" t="s">
        <v>1</v>
      </c>
      <c r="L5" s="139" t="s">
        <v>44</v>
      </c>
      <c r="M5" s="46"/>
      <c r="N5" s="46"/>
      <c r="O5" s="46"/>
      <c r="P5" s="46"/>
    </row>
    <row r="6" spans="1:16" ht="14.1" customHeight="1">
      <c r="A6" s="139"/>
      <c r="B6" s="139"/>
      <c r="C6" s="47">
        <v>0.2</v>
      </c>
      <c r="D6" s="139"/>
      <c r="E6" s="47">
        <v>0.6</v>
      </c>
      <c r="F6" s="139"/>
      <c r="G6" s="47">
        <v>5</v>
      </c>
      <c r="H6" s="139"/>
      <c r="I6" s="47">
        <v>50</v>
      </c>
      <c r="J6" s="139"/>
      <c r="K6" s="47">
        <v>75</v>
      </c>
      <c r="L6" s="139"/>
      <c r="M6" s="46"/>
      <c r="N6" s="46"/>
      <c r="O6" s="46"/>
      <c r="P6" s="46"/>
    </row>
    <row r="7" spans="1:16" ht="14.1" customHeight="1">
      <c r="A7" s="139"/>
      <c r="B7" s="139"/>
      <c r="C7" s="104" t="s">
        <v>6</v>
      </c>
      <c r="D7" s="139"/>
      <c r="E7" s="104" t="s">
        <v>6</v>
      </c>
      <c r="F7" s="139"/>
      <c r="G7" s="104" t="s">
        <v>6</v>
      </c>
      <c r="H7" s="139"/>
      <c r="I7" s="104" t="s">
        <v>6</v>
      </c>
      <c r="J7" s="139"/>
      <c r="K7" s="104" t="s">
        <v>6</v>
      </c>
      <c r="L7" s="139"/>
      <c r="M7" s="46"/>
      <c r="N7" s="46"/>
      <c r="O7" s="46"/>
      <c r="P7" s="46"/>
    </row>
    <row r="8" spans="1:16">
      <c r="A8" s="141">
        <v>45532</v>
      </c>
      <c r="B8" s="142">
        <v>1</v>
      </c>
      <c r="C8" s="48">
        <v>0.218</v>
      </c>
      <c r="D8" s="49">
        <v>9</v>
      </c>
      <c r="E8" s="48">
        <v>0.59099999999999997</v>
      </c>
      <c r="F8" s="49">
        <v>-1.5</v>
      </c>
      <c r="G8" s="48">
        <v>5.109</v>
      </c>
      <c r="H8" s="49">
        <v>2.2000000000000002</v>
      </c>
      <c r="I8" s="48">
        <v>47.895000000000003</v>
      </c>
      <c r="J8" s="49">
        <v>-4.2</v>
      </c>
      <c r="K8" s="48">
        <v>78.182000000000002</v>
      </c>
      <c r="L8" s="49">
        <v>4.2</v>
      </c>
      <c r="M8" s="46"/>
      <c r="N8" s="46"/>
      <c r="O8" s="46"/>
      <c r="P8" s="46"/>
    </row>
    <row r="9" spans="1:16">
      <c r="A9" s="141">
        <v>45532</v>
      </c>
      <c r="B9" s="143">
        <v>1</v>
      </c>
      <c r="C9" s="48">
        <v>0.20799999999999999</v>
      </c>
      <c r="D9" s="49">
        <v>4</v>
      </c>
      <c r="E9" s="48">
        <v>0.629</v>
      </c>
      <c r="F9" s="49">
        <v>4.8</v>
      </c>
      <c r="G9" s="48">
        <v>5.1660000000000004</v>
      </c>
      <c r="H9" s="49">
        <v>3.3</v>
      </c>
      <c r="I9" s="48">
        <v>48.304000000000002</v>
      </c>
      <c r="J9" s="49">
        <v>-3.4</v>
      </c>
      <c r="K9" s="48">
        <v>79.352999999999994</v>
      </c>
      <c r="L9" s="49">
        <v>5.8</v>
      </c>
      <c r="M9" s="46"/>
      <c r="N9" s="46"/>
      <c r="O9" s="46"/>
      <c r="P9" s="46"/>
    </row>
    <row r="10" spans="1:16">
      <c r="A10" s="141">
        <v>45532</v>
      </c>
      <c r="B10" s="143">
        <v>1</v>
      </c>
      <c r="C10" s="48">
        <v>0.21199999999999999</v>
      </c>
      <c r="D10" s="49">
        <v>6</v>
      </c>
      <c r="E10" s="48">
        <v>0.60199999999999998</v>
      </c>
      <c r="F10" s="49">
        <v>0.3</v>
      </c>
      <c r="G10" s="48">
        <v>5.3650000000000002</v>
      </c>
      <c r="H10" s="49">
        <v>7.3</v>
      </c>
      <c r="I10" s="48">
        <v>54.753</v>
      </c>
      <c r="J10" s="49">
        <v>9.5</v>
      </c>
      <c r="K10" s="48">
        <v>82.903999999999996</v>
      </c>
      <c r="L10" s="49">
        <v>10.5</v>
      </c>
      <c r="M10" s="46"/>
      <c r="N10" s="46"/>
      <c r="O10" s="46"/>
      <c r="P10" s="46"/>
    </row>
    <row r="11" spans="1:16">
      <c r="A11" s="141">
        <v>45532</v>
      </c>
      <c r="B11" s="143">
        <v>1</v>
      </c>
      <c r="C11" s="48">
        <v>0.2</v>
      </c>
      <c r="D11" s="49">
        <v>0</v>
      </c>
      <c r="E11" s="48">
        <v>0.56000000000000005</v>
      </c>
      <c r="F11" s="49">
        <v>-6.7</v>
      </c>
      <c r="G11" s="48">
        <v>5.2030000000000003</v>
      </c>
      <c r="H11" s="49">
        <v>4.0999999999999996</v>
      </c>
      <c r="I11" s="48">
        <v>48.777000000000001</v>
      </c>
      <c r="J11" s="49">
        <v>-2.4</v>
      </c>
      <c r="K11" s="48">
        <v>72.128</v>
      </c>
      <c r="L11" s="49">
        <v>-3.8</v>
      </c>
      <c r="M11" s="46"/>
      <c r="N11" s="46"/>
      <c r="O11" s="46"/>
      <c r="P11" s="46"/>
    </row>
    <row r="12" spans="1:16">
      <c r="A12" s="141">
        <v>45532</v>
      </c>
      <c r="B12" s="143">
        <v>1</v>
      </c>
      <c r="C12" s="48">
        <v>0.20499999999999999</v>
      </c>
      <c r="D12" s="49">
        <v>2.5</v>
      </c>
      <c r="E12" s="48">
        <v>0.58899999999999997</v>
      </c>
      <c r="F12" s="49">
        <v>-1.8</v>
      </c>
      <c r="G12" s="48">
        <v>4.6920000000000002</v>
      </c>
      <c r="H12" s="49">
        <v>-6.2</v>
      </c>
      <c r="I12" s="48">
        <v>47.091000000000001</v>
      </c>
      <c r="J12" s="49">
        <v>-5.8</v>
      </c>
      <c r="K12" s="48">
        <v>74.480999999999995</v>
      </c>
      <c r="L12" s="49">
        <v>-0.7</v>
      </c>
      <c r="M12" s="46"/>
      <c r="N12" s="46"/>
      <c r="O12" s="46"/>
      <c r="P12" s="46"/>
    </row>
    <row r="13" spans="1:16">
      <c r="A13" s="141">
        <v>45532</v>
      </c>
      <c r="B13" s="144">
        <v>1</v>
      </c>
      <c r="C13" s="48">
        <v>0.215</v>
      </c>
      <c r="D13" s="49">
        <v>7.5</v>
      </c>
      <c r="E13" s="48">
        <v>0.55300000000000005</v>
      </c>
      <c r="F13" s="49">
        <v>-7.8</v>
      </c>
      <c r="G13" s="48">
        <v>4.9569999999999999</v>
      </c>
      <c r="H13" s="49">
        <v>-0.9</v>
      </c>
      <c r="I13" s="48">
        <v>48.741</v>
      </c>
      <c r="J13" s="49">
        <v>-2.5</v>
      </c>
      <c r="K13" s="48">
        <v>76.837000000000003</v>
      </c>
      <c r="L13" s="49">
        <v>2.4</v>
      </c>
      <c r="M13" s="46"/>
      <c r="N13" s="46"/>
      <c r="O13" s="46"/>
      <c r="P13" s="46"/>
    </row>
    <row r="14" spans="1:16" ht="13.5" customHeight="1">
      <c r="A14" s="105" t="s">
        <v>103</v>
      </c>
      <c r="B14" s="136"/>
      <c r="C14" s="48">
        <v>0.21</v>
      </c>
      <c r="D14" s="136"/>
      <c r="E14" s="48">
        <v>0.58699999999999997</v>
      </c>
      <c r="F14" s="136"/>
      <c r="G14" s="48">
        <v>5.0819999999999999</v>
      </c>
      <c r="H14" s="136"/>
      <c r="I14" s="48">
        <v>49.26</v>
      </c>
      <c r="J14" s="136"/>
      <c r="K14" s="48">
        <v>77.313999999999993</v>
      </c>
      <c r="L14" s="136"/>
      <c r="M14" s="46"/>
      <c r="N14" s="46"/>
      <c r="O14" s="46"/>
      <c r="P14" s="46"/>
    </row>
    <row r="15" spans="1:16" ht="13.5" customHeight="1">
      <c r="A15" s="105" t="s">
        <v>104</v>
      </c>
      <c r="B15" s="137"/>
      <c r="C15" s="48">
        <v>7.0000000000000001E-3</v>
      </c>
      <c r="D15" s="137"/>
      <c r="E15" s="48">
        <v>2.8000000000000001E-2</v>
      </c>
      <c r="F15" s="137"/>
      <c r="G15" s="48">
        <v>0.23200000000000001</v>
      </c>
      <c r="H15" s="137"/>
      <c r="I15" s="48">
        <v>2.7629999999999999</v>
      </c>
      <c r="J15" s="137"/>
      <c r="K15" s="48">
        <v>3.7759999999999998</v>
      </c>
      <c r="L15" s="137"/>
      <c r="M15" s="46"/>
      <c r="N15" s="46"/>
      <c r="O15" s="46"/>
      <c r="P15" s="46"/>
    </row>
    <row r="16" spans="1:16" ht="13.5" customHeight="1">
      <c r="A16" s="105" t="s">
        <v>46</v>
      </c>
      <c r="B16" s="137"/>
      <c r="C16" s="49">
        <v>3.3</v>
      </c>
      <c r="D16" s="137"/>
      <c r="E16" s="49">
        <v>4.8</v>
      </c>
      <c r="F16" s="137"/>
      <c r="G16" s="49">
        <v>4.5999999999999996</v>
      </c>
      <c r="H16" s="137"/>
      <c r="I16" s="49">
        <v>5.6</v>
      </c>
      <c r="J16" s="137"/>
      <c r="K16" s="49">
        <v>4.9000000000000004</v>
      </c>
      <c r="L16" s="137"/>
      <c r="M16" s="46"/>
      <c r="N16" s="46"/>
      <c r="O16" s="46"/>
      <c r="P16" s="46"/>
    </row>
    <row r="17" spans="1:16" ht="13.5" customHeight="1">
      <c r="A17" s="105" t="s">
        <v>47</v>
      </c>
      <c r="B17" s="137"/>
      <c r="C17" s="49">
        <v>5</v>
      </c>
      <c r="D17" s="137"/>
      <c r="E17" s="49">
        <v>-2.2000000000000002</v>
      </c>
      <c r="F17" s="137"/>
      <c r="G17" s="49">
        <v>1.6</v>
      </c>
      <c r="H17" s="137"/>
      <c r="I17" s="49">
        <v>-1.5</v>
      </c>
      <c r="J17" s="137"/>
      <c r="K17" s="49">
        <v>3.1</v>
      </c>
      <c r="L17" s="137"/>
      <c r="M17" s="46"/>
      <c r="N17" s="46"/>
      <c r="O17" s="46"/>
      <c r="P17" s="46"/>
    </row>
    <row r="18" spans="1:16" ht="13.5" customHeight="1">
      <c r="A18" s="105" t="s">
        <v>5</v>
      </c>
      <c r="B18" s="138"/>
      <c r="C18" s="50">
        <v>6</v>
      </c>
      <c r="D18" s="138"/>
      <c r="E18" s="50">
        <v>6</v>
      </c>
      <c r="F18" s="138"/>
      <c r="G18" s="50">
        <v>6</v>
      </c>
      <c r="H18" s="138"/>
      <c r="I18" s="50">
        <v>6</v>
      </c>
      <c r="J18" s="138"/>
      <c r="K18" s="50">
        <v>6</v>
      </c>
      <c r="L18" s="138"/>
      <c r="M18" s="46"/>
      <c r="N18" s="46"/>
      <c r="O18" s="46"/>
      <c r="P18" s="46"/>
    </row>
    <row r="19" spans="1:16">
      <c r="A19" s="141">
        <v>45534</v>
      </c>
      <c r="B19" s="142">
        <v>3</v>
      </c>
      <c r="C19" s="48">
        <v>0.20200000000000001</v>
      </c>
      <c r="D19" s="49">
        <v>1</v>
      </c>
      <c r="E19" s="48">
        <v>0.6</v>
      </c>
      <c r="F19" s="49">
        <v>0</v>
      </c>
      <c r="G19" s="48">
        <v>5.2060000000000004</v>
      </c>
      <c r="H19" s="49">
        <v>4.0999999999999996</v>
      </c>
      <c r="I19" s="48">
        <v>44.936999999999998</v>
      </c>
      <c r="J19" s="49">
        <v>-10.1</v>
      </c>
      <c r="K19" s="48">
        <v>78.921000000000006</v>
      </c>
      <c r="L19" s="49">
        <v>5.2</v>
      </c>
      <c r="M19" s="46"/>
      <c r="N19" s="10" t="s">
        <v>202</v>
      </c>
    </row>
    <row r="20" spans="1:16">
      <c r="A20" s="141">
        <v>45534</v>
      </c>
      <c r="B20" s="143">
        <v>3</v>
      </c>
      <c r="C20" s="48">
        <v>0.18099999999999999</v>
      </c>
      <c r="D20" s="49">
        <v>-9.5</v>
      </c>
      <c r="E20" s="48">
        <v>0.61699999999999999</v>
      </c>
      <c r="F20" s="49">
        <v>2.8</v>
      </c>
      <c r="G20" s="48">
        <v>5.1040000000000001</v>
      </c>
      <c r="H20" s="49">
        <v>2.1</v>
      </c>
      <c r="I20" s="48">
        <v>50.222999999999999</v>
      </c>
      <c r="J20" s="49">
        <v>0.4</v>
      </c>
      <c r="K20" s="48">
        <v>76.265000000000001</v>
      </c>
      <c r="L20" s="49">
        <v>1.7</v>
      </c>
      <c r="M20" s="46"/>
      <c r="N20" s="10" t="s">
        <v>203</v>
      </c>
      <c r="O20" s="10" t="s">
        <v>57</v>
      </c>
      <c r="P20" s="10" t="s">
        <v>58</v>
      </c>
    </row>
    <row r="21" spans="1:16">
      <c r="A21" s="141">
        <v>45534</v>
      </c>
      <c r="B21" s="143">
        <v>3</v>
      </c>
      <c r="C21" s="48">
        <v>0.20200000000000001</v>
      </c>
      <c r="D21" s="49">
        <v>1</v>
      </c>
      <c r="E21" s="48">
        <v>0.59699999999999998</v>
      </c>
      <c r="F21" s="49">
        <v>-0.5</v>
      </c>
      <c r="G21" s="48">
        <v>5.1180000000000003</v>
      </c>
      <c r="H21" s="49">
        <v>2.4</v>
      </c>
      <c r="I21" s="48">
        <v>47.417999999999999</v>
      </c>
      <c r="J21" s="49">
        <v>-5.2</v>
      </c>
      <c r="K21" s="48">
        <v>77.087999999999994</v>
      </c>
      <c r="L21" s="49">
        <v>2.8</v>
      </c>
      <c r="M21" s="46"/>
      <c r="N21" s="10" t="s">
        <v>59</v>
      </c>
      <c r="O21" s="51">
        <f>MAX(E17,G17,I17,K17,E28,G28,I28,K28,E39,G39,I39,K39)</f>
        <v>9</v>
      </c>
      <c r="P21" s="51">
        <f>MIN(E17,G17,I17,K17,E28,G28,I28,K28,E39,G39,I39,K39)</f>
        <v>-3.2</v>
      </c>
    </row>
    <row r="22" spans="1:16">
      <c r="A22" s="141">
        <v>45534</v>
      </c>
      <c r="B22" s="143">
        <v>3</v>
      </c>
      <c r="C22" s="48" t="s">
        <v>89</v>
      </c>
      <c r="D22" s="49">
        <v>-28.5</v>
      </c>
      <c r="E22" s="48">
        <v>0.57599999999999996</v>
      </c>
      <c r="F22" s="49">
        <v>-4</v>
      </c>
      <c r="G22" s="48">
        <v>4.6890000000000001</v>
      </c>
      <c r="H22" s="49">
        <v>-6.2</v>
      </c>
      <c r="I22" s="48">
        <v>48.798000000000002</v>
      </c>
      <c r="J22" s="49">
        <v>-2.4</v>
      </c>
      <c r="K22" s="48">
        <v>75.176000000000002</v>
      </c>
      <c r="L22" s="49">
        <v>0.2</v>
      </c>
      <c r="M22" s="46"/>
      <c r="N22" s="10" t="s">
        <v>60</v>
      </c>
      <c r="O22" s="51">
        <f>MAX(E16,G16,I16,K16,E27,G27,I27,K27,E38,G38,I38,K38)</f>
        <v>5.6</v>
      </c>
      <c r="P22" s="51">
        <f>MIN(E16,G16,I16,K16,E27,G27,I27,K27,E38,G38,I38,K38)</f>
        <v>2.4</v>
      </c>
    </row>
    <row r="23" spans="1:16">
      <c r="A23" s="141">
        <v>45534</v>
      </c>
      <c r="B23" s="143">
        <v>3</v>
      </c>
      <c r="C23" s="48">
        <v>0.20200000000000001</v>
      </c>
      <c r="D23" s="49">
        <v>1</v>
      </c>
      <c r="E23" s="48">
        <v>0.57799999999999996</v>
      </c>
      <c r="F23" s="49">
        <v>-3.7</v>
      </c>
      <c r="G23" s="48">
        <v>5.0110000000000001</v>
      </c>
      <c r="H23" s="49">
        <v>0.2</v>
      </c>
      <c r="I23" s="48">
        <v>50.505000000000003</v>
      </c>
      <c r="J23" s="49">
        <v>1</v>
      </c>
      <c r="K23" s="48">
        <v>78.266999999999996</v>
      </c>
      <c r="L23" s="49">
        <v>4.4000000000000004</v>
      </c>
      <c r="M23" s="46"/>
    </row>
    <row r="24" spans="1:16">
      <c r="A24" s="141">
        <v>45534</v>
      </c>
      <c r="B24" s="144">
        <v>3</v>
      </c>
      <c r="C24" s="48">
        <v>0.19700000000000001</v>
      </c>
      <c r="D24" s="49">
        <v>-1.5</v>
      </c>
      <c r="E24" s="48">
        <v>0.58099999999999996</v>
      </c>
      <c r="F24" s="49">
        <v>-3.2</v>
      </c>
      <c r="G24" s="48">
        <v>5.2130000000000001</v>
      </c>
      <c r="H24" s="49">
        <v>4.3</v>
      </c>
      <c r="I24" s="48">
        <v>48.610999999999997</v>
      </c>
      <c r="J24" s="49">
        <v>-2.8</v>
      </c>
      <c r="K24" s="48">
        <v>70.414000000000001</v>
      </c>
      <c r="L24" s="49">
        <v>-6.1</v>
      </c>
      <c r="M24" s="46"/>
      <c r="N24" s="10" t="s">
        <v>204</v>
      </c>
      <c r="O24" s="10" t="s">
        <v>57</v>
      </c>
      <c r="P24" s="10" t="s">
        <v>58</v>
      </c>
    </row>
    <row r="25" spans="1:16" ht="13.5" customHeight="1">
      <c r="A25" s="105" t="s">
        <v>103</v>
      </c>
      <c r="B25" s="136"/>
      <c r="C25" s="48">
        <v>0.188</v>
      </c>
      <c r="D25" s="136"/>
      <c r="E25" s="48">
        <v>0.59199999999999997</v>
      </c>
      <c r="F25" s="136"/>
      <c r="G25" s="48">
        <v>5.0570000000000004</v>
      </c>
      <c r="H25" s="136"/>
      <c r="I25" s="48">
        <v>48.414999999999999</v>
      </c>
      <c r="J25" s="136"/>
      <c r="K25" s="48">
        <v>76.022000000000006</v>
      </c>
      <c r="L25" s="136"/>
      <c r="M25" s="46"/>
      <c r="N25" s="10" t="s">
        <v>59</v>
      </c>
      <c r="O25" s="51">
        <f>MAX(E44,G44,I44,K44)</f>
        <v>4.2</v>
      </c>
      <c r="P25" s="51">
        <f>MIN(E44,G44,I44,K44)</f>
        <v>0.3</v>
      </c>
    </row>
    <row r="26" spans="1:16" ht="13.5" customHeight="1">
      <c r="A26" s="105" t="s">
        <v>104</v>
      </c>
      <c r="B26" s="137"/>
      <c r="C26" s="48">
        <v>2.3E-2</v>
      </c>
      <c r="D26" s="137"/>
      <c r="E26" s="48">
        <v>1.6E-2</v>
      </c>
      <c r="F26" s="137"/>
      <c r="G26" s="48">
        <v>0.19500000000000001</v>
      </c>
      <c r="H26" s="137"/>
      <c r="I26" s="48">
        <v>2.0449999999999999</v>
      </c>
      <c r="J26" s="137"/>
      <c r="K26" s="48">
        <v>3.06</v>
      </c>
      <c r="L26" s="137"/>
      <c r="M26" s="46"/>
      <c r="N26" s="10" t="s">
        <v>60</v>
      </c>
      <c r="O26" s="51">
        <f>MAX(E43,G43,I43,K43)</f>
        <v>6.7</v>
      </c>
      <c r="P26" s="51">
        <f>MIN(E43,G43,I43,K43)</f>
        <v>4</v>
      </c>
    </row>
    <row r="27" spans="1:16" ht="13.5" customHeight="1">
      <c r="A27" s="105" t="s">
        <v>36</v>
      </c>
      <c r="B27" s="137"/>
      <c r="C27" s="49">
        <v>12.2</v>
      </c>
      <c r="D27" s="137"/>
      <c r="E27" s="49">
        <v>2.7</v>
      </c>
      <c r="F27" s="137"/>
      <c r="G27" s="49">
        <v>3.9</v>
      </c>
      <c r="H27" s="137"/>
      <c r="I27" s="49">
        <v>4.2</v>
      </c>
      <c r="J27" s="137"/>
      <c r="K27" s="49">
        <v>4</v>
      </c>
      <c r="L27" s="137"/>
      <c r="M27" s="46"/>
    </row>
    <row r="28" spans="1:16" ht="13.5" customHeight="1">
      <c r="A28" s="105" t="s">
        <v>37</v>
      </c>
      <c r="B28" s="137"/>
      <c r="C28" s="49">
        <v>-6</v>
      </c>
      <c r="D28" s="137"/>
      <c r="E28" s="49">
        <v>-1.3</v>
      </c>
      <c r="F28" s="137"/>
      <c r="G28" s="49">
        <v>1.1000000000000001</v>
      </c>
      <c r="H28" s="137"/>
      <c r="I28" s="49">
        <v>-3.2</v>
      </c>
      <c r="J28" s="137"/>
      <c r="K28" s="49">
        <v>1.4</v>
      </c>
      <c r="L28" s="137"/>
      <c r="M28" s="46"/>
      <c r="N28" s="10" t="s">
        <v>61</v>
      </c>
    </row>
    <row r="29" spans="1:16" ht="13.5" customHeight="1">
      <c r="A29" s="105" t="s">
        <v>5</v>
      </c>
      <c r="B29" s="138"/>
      <c r="C29" s="50">
        <v>6</v>
      </c>
      <c r="D29" s="138"/>
      <c r="E29" s="50">
        <v>6</v>
      </c>
      <c r="F29" s="138"/>
      <c r="G29" s="50">
        <v>6</v>
      </c>
      <c r="H29" s="138"/>
      <c r="I29" s="50">
        <v>6</v>
      </c>
      <c r="J29" s="138"/>
      <c r="K29" s="50">
        <v>6</v>
      </c>
      <c r="L29" s="138"/>
      <c r="M29" s="46"/>
      <c r="N29" s="10" t="s">
        <v>203</v>
      </c>
      <c r="O29" s="10" t="s">
        <v>57</v>
      </c>
      <c r="P29" s="10" t="s">
        <v>58</v>
      </c>
    </row>
    <row r="30" spans="1:16">
      <c r="A30" s="141">
        <v>45536</v>
      </c>
      <c r="B30" s="142">
        <v>5</v>
      </c>
      <c r="C30" s="48">
        <v>0.19600000000000001</v>
      </c>
      <c r="D30" s="49">
        <v>-2</v>
      </c>
      <c r="E30" s="48">
        <v>0.61799999999999999</v>
      </c>
      <c r="F30" s="49">
        <v>3</v>
      </c>
      <c r="G30" s="48">
        <v>5.2460000000000004</v>
      </c>
      <c r="H30" s="49">
        <v>4.9000000000000004</v>
      </c>
      <c r="I30" s="48">
        <v>53.326999999999998</v>
      </c>
      <c r="J30" s="49">
        <v>6.7</v>
      </c>
      <c r="K30" s="48">
        <v>79.665000000000006</v>
      </c>
      <c r="L30" s="49">
        <v>6.2</v>
      </c>
      <c r="M30" s="46"/>
      <c r="N30" s="10" t="s">
        <v>59</v>
      </c>
      <c r="O30" s="51">
        <f>MAX(C17,C28,C39)</f>
        <v>5</v>
      </c>
      <c r="P30" s="51">
        <f>MIN(C17,C28,C39)</f>
        <v>-6</v>
      </c>
    </row>
    <row r="31" spans="1:16">
      <c r="A31" s="141">
        <v>45536</v>
      </c>
      <c r="B31" s="143">
        <v>5</v>
      </c>
      <c r="C31" s="48">
        <v>0.19700000000000001</v>
      </c>
      <c r="D31" s="49">
        <v>-1.5</v>
      </c>
      <c r="E31" s="48">
        <v>0.66200000000000003</v>
      </c>
      <c r="F31" s="49">
        <v>10.3</v>
      </c>
      <c r="G31" s="48">
        <v>5.3609999999999998</v>
      </c>
      <c r="H31" s="49">
        <v>7.2</v>
      </c>
      <c r="I31" s="48">
        <v>54.628999999999998</v>
      </c>
      <c r="J31" s="49">
        <v>9.3000000000000007</v>
      </c>
      <c r="K31" s="48">
        <v>84.031999999999996</v>
      </c>
      <c r="L31" s="49">
        <v>12</v>
      </c>
      <c r="M31" s="46"/>
      <c r="N31" s="10" t="s">
        <v>60</v>
      </c>
      <c r="O31" s="51">
        <f>MAX(C16,C27,C38)</f>
        <v>12.2</v>
      </c>
      <c r="P31" s="51">
        <f>MIN(C16,C27,C38)</f>
        <v>3.1</v>
      </c>
    </row>
    <row r="32" spans="1:16">
      <c r="A32" s="141">
        <v>45536</v>
      </c>
      <c r="B32" s="143">
        <v>5</v>
      </c>
      <c r="C32" s="48">
        <v>0.19700000000000001</v>
      </c>
      <c r="D32" s="49">
        <v>-1.5</v>
      </c>
      <c r="E32" s="48">
        <v>0.624</v>
      </c>
      <c r="F32" s="49">
        <v>4</v>
      </c>
      <c r="G32" s="48">
        <v>5.2069999999999999</v>
      </c>
      <c r="H32" s="49">
        <v>4.0999999999999996</v>
      </c>
      <c r="I32" s="48">
        <v>56.375</v>
      </c>
      <c r="J32" s="49">
        <v>12.8</v>
      </c>
      <c r="K32" s="48">
        <v>82.325999999999993</v>
      </c>
      <c r="L32" s="49">
        <v>9.8000000000000007</v>
      </c>
      <c r="M32" s="46"/>
    </row>
    <row r="33" spans="1:16">
      <c r="A33" s="141">
        <v>45536</v>
      </c>
      <c r="B33" s="143">
        <v>5</v>
      </c>
      <c r="C33" s="48">
        <v>0.184</v>
      </c>
      <c r="D33" s="49">
        <v>-8</v>
      </c>
      <c r="E33" s="48">
        <v>0.63600000000000001</v>
      </c>
      <c r="F33" s="49">
        <v>6</v>
      </c>
      <c r="G33" s="48">
        <v>5.0350000000000001</v>
      </c>
      <c r="H33" s="49">
        <v>0.7</v>
      </c>
      <c r="I33" s="48">
        <v>52.685000000000002</v>
      </c>
      <c r="J33" s="49">
        <v>5.4</v>
      </c>
      <c r="K33" s="48">
        <v>80.156999999999996</v>
      </c>
      <c r="L33" s="49">
        <v>6.9</v>
      </c>
      <c r="M33" s="46"/>
      <c r="N33" s="10" t="s">
        <v>205</v>
      </c>
      <c r="O33" s="10" t="s">
        <v>57</v>
      </c>
      <c r="P33" s="10" t="s">
        <v>58</v>
      </c>
    </row>
    <row r="34" spans="1:16">
      <c r="A34" s="141">
        <v>45536</v>
      </c>
      <c r="B34" s="143">
        <v>5</v>
      </c>
      <c r="C34" s="48">
        <v>0.19400000000000001</v>
      </c>
      <c r="D34" s="49">
        <v>-3</v>
      </c>
      <c r="E34" s="48">
        <v>0.59199999999999997</v>
      </c>
      <c r="F34" s="49">
        <v>-1.3</v>
      </c>
      <c r="G34" s="48">
        <v>5.49</v>
      </c>
      <c r="H34" s="49">
        <v>9.8000000000000007</v>
      </c>
      <c r="I34" s="48">
        <v>55.081000000000003</v>
      </c>
      <c r="J34" s="49">
        <v>10.199999999999999</v>
      </c>
      <c r="K34" s="48">
        <v>77.73</v>
      </c>
      <c r="L34" s="49">
        <v>3.6</v>
      </c>
      <c r="M34" s="46"/>
      <c r="N34" s="10" t="s">
        <v>59</v>
      </c>
      <c r="O34" s="51">
        <f>MAX(C44)</f>
        <v>-1.5</v>
      </c>
      <c r="P34" s="51">
        <f>MIN(C44)</f>
        <v>-1.5</v>
      </c>
    </row>
    <row r="35" spans="1:16">
      <c r="A35" s="141">
        <v>45536</v>
      </c>
      <c r="B35" s="144">
        <v>5</v>
      </c>
      <c r="C35" s="48">
        <v>0.184</v>
      </c>
      <c r="D35" s="49">
        <v>-8</v>
      </c>
      <c r="E35" s="48">
        <v>0.626</v>
      </c>
      <c r="F35" s="49">
        <v>4.3</v>
      </c>
      <c r="G35" s="48">
        <v>5.14</v>
      </c>
      <c r="H35" s="49">
        <v>2.8</v>
      </c>
      <c r="I35" s="48">
        <v>54.845999999999997</v>
      </c>
      <c r="J35" s="49">
        <v>9.6999999999999993</v>
      </c>
      <c r="K35" s="48">
        <v>83.331999999999994</v>
      </c>
      <c r="L35" s="49">
        <v>11.1</v>
      </c>
      <c r="M35" s="46"/>
      <c r="N35" s="10" t="s">
        <v>60</v>
      </c>
      <c r="O35" s="51">
        <f>MAX(C43)</f>
        <v>8.6</v>
      </c>
      <c r="P35" s="51">
        <f>MIN(C43)</f>
        <v>8.6</v>
      </c>
    </row>
    <row r="36" spans="1:16" ht="14.1" customHeight="1">
      <c r="A36" s="105" t="s">
        <v>206</v>
      </c>
      <c r="B36" s="136"/>
      <c r="C36" s="48">
        <v>0.192</v>
      </c>
      <c r="D36" s="136"/>
      <c r="E36" s="48">
        <v>0.626</v>
      </c>
      <c r="F36" s="136"/>
      <c r="G36" s="48">
        <v>5.2469999999999999</v>
      </c>
      <c r="H36" s="136"/>
      <c r="I36" s="48">
        <v>54.491</v>
      </c>
      <c r="J36" s="136"/>
      <c r="K36" s="48">
        <v>81.206999999999994</v>
      </c>
      <c r="L36" s="136"/>
      <c r="M36" s="46"/>
      <c r="N36" s="46"/>
      <c r="O36" s="46"/>
      <c r="P36" s="46"/>
    </row>
    <row r="37" spans="1:16" ht="14.1" customHeight="1">
      <c r="A37" s="105" t="s">
        <v>104</v>
      </c>
      <c r="B37" s="137"/>
      <c r="C37" s="48">
        <v>6.0000000000000001E-3</v>
      </c>
      <c r="D37" s="137"/>
      <c r="E37" s="48">
        <v>2.3E-2</v>
      </c>
      <c r="F37" s="137"/>
      <c r="G37" s="48">
        <v>0.161</v>
      </c>
      <c r="H37" s="137"/>
      <c r="I37" s="48">
        <v>1.3160000000000001</v>
      </c>
      <c r="J37" s="137"/>
      <c r="K37" s="48">
        <v>2.4209999999999998</v>
      </c>
      <c r="L37" s="137"/>
      <c r="M37" s="46"/>
      <c r="N37" s="46"/>
      <c r="O37" s="46"/>
      <c r="P37" s="46"/>
    </row>
    <row r="38" spans="1:16" ht="14.1" customHeight="1">
      <c r="A38" s="105" t="s">
        <v>36</v>
      </c>
      <c r="B38" s="137"/>
      <c r="C38" s="49">
        <v>3.1</v>
      </c>
      <c r="D38" s="137"/>
      <c r="E38" s="49">
        <v>3.7</v>
      </c>
      <c r="F38" s="137"/>
      <c r="G38" s="49">
        <v>3.1</v>
      </c>
      <c r="H38" s="137"/>
      <c r="I38" s="49">
        <v>2.4</v>
      </c>
      <c r="J38" s="137"/>
      <c r="K38" s="49">
        <v>3</v>
      </c>
      <c r="L38" s="137"/>
      <c r="M38" s="46"/>
      <c r="N38" s="46"/>
      <c r="O38" s="46"/>
      <c r="P38" s="46"/>
    </row>
    <row r="39" spans="1:16" ht="14.1" customHeight="1">
      <c r="A39" s="105" t="s">
        <v>37</v>
      </c>
      <c r="B39" s="137"/>
      <c r="C39" s="49">
        <v>-4</v>
      </c>
      <c r="D39" s="137"/>
      <c r="E39" s="49">
        <v>4.3</v>
      </c>
      <c r="F39" s="137"/>
      <c r="G39" s="49">
        <v>4.9000000000000004</v>
      </c>
      <c r="H39" s="137"/>
      <c r="I39" s="49">
        <v>9</v>
      </c>
      <c r="J39" s="137"/>
      <c r="K39" s="49">
        <v>8.3000000000000007</v>
      </c>
      <c r="L39" s="137"/>
      <c r="M39" s="46"/>
      <c r="N39" s="46"/>
      <c r="O39" s="46"/>
      <c r="P39" s="46"/>
    </row>
    <row r="40" spans="1:16" ht="14.1" customHeight="1">
      <c r="A40" s="105" t="s">
        <v>5</v>
      </c>
      <c r="B40" s="138"/>
      <c r="C40" s="50">
        <v>6</v>
      </c>
      <c r="D40" s="138"/>
      <c r="E40" s="50">
        <v>6</v>
      </c>
      <c r="F40" s="138"/>
      <c r="G40" s="50">
        <v>6</v>
      </c>
      <c r="H40" s="138"/>
      <c r="I40" s="50">
        <v>6</v>
      </c>
      <c r="J40" s="138"/>
      <c r="K40" s="50">
        <v>6</v>
      </c>
      <c r="L40" s="138"/>
      <c r="M40" s="46"/>
      <c r="N40" s="46"/>
      <c r="O40" s="46"/>
      <c r="P40" s="46"/>
    </row>
    <row r="41" spans="1:16" ht="15" customHeight="1">
      <c r="A41" s="105" t="s">
        <v>105</v>
      </c>
      <c r="B41" s="136"/>
      <c r="C41" s="48">
        <v>0.19700000000000001</v>
      </c>
      <c r="D41" s="136"/>
      <c r="E41" s="48">
        <v>0.60199999999999998</v>
      </c>
      <c r="F41" s="136"/>
      <c r="G41" s="48">
        <v>5.1280000000000001</v>
      </c>
      <c r="H41" s="136"/>
      <c r="I41" s="48">
        <v>50.722000000000001</v>
      </c>
      <c r="J41" s="136"/>
      <c r="K41" s="48">
        <v>78.180999999999997</v>
      </c>
      <c r="L41" s="136"/>
      <c r="M41" s="46"/>
      <c r="N41" s="46"/>
      <c r="O41" s="46"/>
      <c r="P41" s="46"/>
    </row>
    <row r="42" spans="1:16" ht="15" customHeight="1">
      <c r="A42" s="105" t="s">
        <v>106</v>
      </c>
      <c r="B42" s="137"/>
      <c r="C42" s="48">
        <v>1.7000000000000001E-2</v>
      </c>
      <c r="D42" s="137"/>
      <c r="E42" s="48">
        <v>2.8000000000000001E-2</v>
      </c>
      <c r="F42" s="137"/>
      <c r="G42" s="48">
        <v>0.20499999999999999</v>
      </c>
      <c r="H42" s="137"/>
      <c r="I42" s="48">
        <v>3.41</v>
      </c>
      <c r="J42" s="137"/>
      <c r="K42" s="48">
        <v>3.7170000000000001</v>
      </c>
      <c r="L42" s="137"/>
      <c r="M42" s="46"/>
      <c r="N42" s="46"/>
      <c r="O42" s="46"/>
      <c r="P42" s="46"/>
    </row>
    <row r="43" spans="1:16" ht="15" customHeight="1">
      <c r="A43" s="105" t="s">
        <v>38</v>
      </c>
      <c r="B43" s="137"/>
      <c r="C43" s="49">
        <v>8.6</v>
      </c>
      <c r="D43" s="137"/>
      <c r="E43" s="49">
        <v>4.7</v>
      </c>
      <c r="F43" s="137"/>
      <c r="G43" s="49">
        <v>4</v>
      </c>
      <c r="H43" s="137"/>
      <c r="I43" s="49">
        <v>6.7</v>
      </c>
      <c r="J43" s="137"/>
      <c r="K43" s="49">
        <v>4.8</v>
      </c>
      <c r="L43" s="137"/>
      <c r="M43" s="46"/>
      <c r="N43" s="46"/>
      <c r="O43" s="46"/>
      <c r="P43" s="46"/>
    </row>
    <row r="44" spans="1:16" ht="15" customHeight="1">
      <c r="A44" s="105" t="s">
        <v>39</v>
      </c>
      <c r="B44" s="137"/>
      <c r="C44" s="49">
        <v>-1.5</v>
      </c>
      <c r="D44" s="137"/>
      <c r="E44" s="49">
        <v>0.3</v>
      </c>
      <c r="F44" s="137"/>
      <c r="G44" s="49">
        <v>2.6</v>
      </c>
      <c r="H44" s="137"/>
      <c r="I44" s="49">
        <v>1.4</v>
      </c>
      <c r="J44" s="137"/>
      <c r="K44" s="49">
        <v>4.2</v>
      </c>
      <c r="L44" s="137"/>
      <c r="M44" s="46"/>
      <c r="N44" s="46"/>
      <c r="O44" s="46"/>
      <c r="P44" s="46"/>
    </row>
    <row r="45" spans="1:16" ht="15" customHeight="1">
      <c r="A45" s="105" t="s">
        <v>5</v>
      </c>
      <c r="B45" s="138"/>
      <c r="C45" s="50">
        <v>18</v>
      </c>
      <c r="D45" s="138"/>
      <c r="E45" s="50">
        <v>18</v>
      </c>
      <c r="F45" s="138"/>
      <c r="G45" s="50">
        <v>18</v>
      </c>
      <c r="H45" s="138"/>
      <c r="I45" s="50">
        <v>18</v>
      </c>
      <c r="J45" s="138"/>
      <c r="K45" s="50">
        <v>18</v>
      </c>
      <c r="L45" s="138"/>
      <c r="M45" s="46"/>
      <c r="N45" s="46"/>
      <c r="O45" s="46"/>
      <c r="P45" s="46"/>
    </row>
    <row r="46" spans="1:16" ht="13.5" customHeight="1">
      <c r="A46" s="146" t="s">
        <v>107</v>
      </c>
      <c r="B46" s="147"/>
      <c r="C46" s="147"/>
      <c r="D46" s="147"/>
      <c r="E46" s="147"/>
      <c r="F46" s="147"/>
      <c r="G46" s="147"/>
      <c r="H46" s="46"/>
      <c r="I46" s="46"/>
      <c r="J46" s="46"/>
      <c r="K46" s="46"/>
      <c r="L46" s="46"/>
      <c r="M46" s="46"/>
      <c r="N46" s="46"/>
      <c r="O46" s="46"/>
      <c r="P46" s="46"/>
    </row>
    <row r="48" spans="1:16">
      <c r="A48" s="145" t="s">
        <v>207</v>
      </c>
      <c r="B48" s="145"/>
      <c r="C48" s="145"/>
      <c r="D48" s="145"/>
      <c r="E48" s="145"/>
    </row>
    <row r="49" spans="1:16" ht="14.1" customHeight="1">
      <c r="A49" s="139" t="s">
        <v>12</v>
      </c>
      <c r="B49" s="139" t="s">
        <v>10</v>
      </c>
      <c r="C49" s="103" t="s">
        <v>0</v>
      </c>
      <c r="D49" s="139" t="s">
        <v>44</v>
      </c>
      <c r="E49" s="105" t="s">
        <v>3</v>
      </c>
      <c r="F49" s="139" t="s">
        <v>44</v>
      </c>
      <c r="G49" s="105" t="s">
        <v>62</v>
      </c>
      <c r="H49" s="139" t="s">
        <v>44</v>
      </c>
      <c r="I49" s="105" t="s">
        <v>63</v>
      </c>
      <c r="J49" s="139" t="s">
        <v>44</v>
      </c>
      <c r="K49" s="105" t="s">
        <v>1</v>
      </c>
      <c r="L49" s="139" t="s">
        <v>44</v>
      </c>
      <c r="M49" s="46"/>
      <c r="N49" s="46"/>
      <c r="O49" s="46"/>
      <c r="P49" s="46"/>
    </row>
    <row r="50" spans="1:16" ht="14.1" customHeight="1">
      <c r="A50" s="139"/>
      <c r="B50" s="139"/>
      <c r="C50" s="47">
        <v>0.2</v>
      </c>
      <c r="D50" s="139"/>
      <c r="E50" s="47">
        <v>0.6</v>
      </c>
      <c r="F50" s="139"/>
      <c r="G50" s="47">
        <v>5</v>
      </c>
      <c r="H50" s="139"/>
      <c r="I50" s="47">
        <v>50</v>
      </c>
      <c r="J50" s="139"/>
      <c r="K50" s="47">
        <v>75</v>
      </c>
      <c r="L50" s="139"/>
      <c r="M50" s="46"/>
      <c r="N50" s="46"/>
      <c r="O50" s="46"/>
      <c r="P50" s="46"/>
    </row>
    <row r="51" spans="1:16" ht="14.1" customHeight="1">
      <c r="A51" s="139"/>
      <c r="B51" s="139"/>
      <c r="C51" s="104" t="s">
        <v>6</v>
      </c>
      <c r="D51" s="139"/>
      <c r="E51" s="104" t="s">
        <v>6</v>
      </c>
      <c r="F51" s="139"/>
      <c r="G51" s="104" t="s">
        <v>6</v>
      </c>
      <c r="H51" s="139"/>
      <c r="I51" s="104" t="s">
        <v>6</v>
      </c>
      <c r="J51" s="139"/>
      <c r="K51" s="104" t="s">
        <v>6</v>
      </c>
      <c r="L51" s="139"/>
      <c r="M51" s="46"/>
      <c r="N51" s="46"/>
      <c r="O51" s="46"/>
      <c r="P51" s="46"/>
    </row>
    <row r="52" spans="1:16">
      <c r="A52" s="141">
        <v>45532</v>
      </c>
      <c r="B52" s="142">
        <v>2</v>
      </c>
      <c r="C52" s="48">
        <v>0.20200000000000001</v>
      </c>
      <c r="D52" s="49">
        <v>1</v>
      </c>
      <c r="E52" s="48">
        <v>0.57099999999999995</v>
      </c>
      <c r="F52" s="49">
        <v>-4.8</v>
      </c>
      <c r="G52" s="48">
        <v>4.8499999999999996</v>
      </c>
      <c r="H52" s="49">
        <v>-3</v>
      </c>
      <c r="I52" s="48">
        <v>47.668999999999997</v>
      </c>
      <c r="J52" s="49">
        <v>-4.7</v>
      </c>
      <c r="K52" s="48">
        <v>77.423000000000002</v>
      </c>
      <c r="L52" s="49">
        <v>3.2</v>
      </c>
      <c r="M52" s="46"/>
      <c r="O52" s="51"/>
      <c r="P52" s="51"/>
    </row>
    <row r="53" spans="1:16">
      <c r="A53" s="141"/>
      <c r="B53" s="143"/>
      <c r="C53" s="48">
        <v>0.189</v>
      </c>
      <c r="D53" s="49">
        <v>-5.5</v>
      </c>
      <c r="E53" s="48">
        <v>0.55600000000000005</v>
      </c>
      <c r="F53" s="49">
        <v>-7.3</v>
      </c>
      <c r="G53" s="48">
        <v>5.2030000000000003</v>
      </c>
      <c r="H53" s="49">
        <v>4.0999999999999996</v>
      </c>
      <c r="I53" s="48">
        <v>47.886000000000003</v>
      </c>
      <c r="J53" s="49">
        <v>-4.2</v>
      </c>
      <c r="K53" s="48">
        <v>80.25</v>
      </c>
      <c r="L53" s="49">
        <v>7</v>
      </c>
      <c r="M53" s="46"/>
      <c r="O53" s="51"/>
      <c r="P53" s="51"/>
    </row>
    <row r="54" spans="1:16">
      <c r="A54" s="141"/>
      <c r="B54" s="143"/>
      <c r="C54" s="48" t="s">
        <v>90</v>
      </c>
      <c r="D54" s="49">
        <v>33.5</v>
      </c>
      <c r="E54" s="48">
        <v>0.68</v>
      </c>
      <c r="F54" s="49">
        <v>13.3</v>
      </c>
      <c r="G54" s="48">
        <v>5.3840000000000003</v>
      </c>
      <c r="H54" s="49">
        <v>7.7</v>
      </c>
      <c r="I54" s="48">
        <v>52.604999999999997</v>
      </c>
      <c r="J54" s="49">
        <v>5.2</v>
      </c>
      <c r="K54" s="48" t="s">
        <v>91</v>
      </c>
      <c r="L54" s="49">
        <v>17.5</v>
      </c>
      <c r="M54" s="46"/>
    </row>
    <row r="55" spans="1:16">
      <c r="A55" s="141"/>
      <c r="B55" s="143"/>
      <c r="C55" s="48" t="s">
        <v>92</v>
      </c>
      <c r="D55" s="49">
        <v>40.5</v>
      </c>
      <c r="E55" s="48" t="s">
        <v>93</v>
      </c>
      <c r="F55" s="49">
        <v>21.5</v>
      </c>
      <c r="G55" s="48" t="s">
        <v>94</v>
      </c>
      <c r="H55" s="49">
        <v>15.9</v>
      </c>
      <c r="I55" s="48">
        <v>54.546999999999997</v>
      </c>
      <c r="J55" s="49">
        <v>9.1</v>
      </c>
      <c r="K55" s="48">
        <v>83.063999999999993</v>
      </c>
      <c r="L55" s="49">
        <v>10.8</v>
      </c>
      <c r="M55" s="46"/>
    </row>
    <row r="56" spans="1:16">
      <c r="A56" s="141"/>
      <c r="B56" s="143"/>
      <c r="C56" s="48" t="s">
        <v>95</v>
      </c>
      <c r="D56" s="49">
        <v>50</v>
      </c>
      <c r="E56" s="48" t="s">
        <v>96</v>
      </c>
      <c r="F56" s="49">
        <v>34.799999999999997</v>
      </c>
      <c r="G56" s="48" t="s">
        <v>97</v>
      </c>
      <c r="H56" s="49">
        <v>15.2</v>
      </c>
      <c r="I56" s="48">
        <v>54.988</v>
      </c>
      <c r="J56" s="49">
        <v>10</v>
      </c>
      <c r="K56" s="48" t="s">
        <v>98</v>
      </c>
      <c r="L56" s="49">
        <v>20</v>
      </c>
      <c r="M56" s="46"/>
      <c r="O56" s="51"/>
      <c r="P56" s="51"/>
    </row>
    <row r="57" spans="1:16">
      <c r="A57" s="141"/>
      <c r="B57" s="144"/>
      <c r="C57" s="48" t="s">
        <v>99</v>
      </c>
      <c r="D57" s="49">
        <v>45</v>
      </c>
      <c r="E57" s="48" t="s">
        <v>100</v>
      </c>
      <c r="F57" s="49">
        <v>31.7</v>
      </c>
      <c r="G57" s="48" t="s">
        <v>101</v>
      </c>
      <c r="H57" s="49">
        <v>19.7</v>
      </c>
      <c r="I57" s="48">
        <v>55.790999999999997</v>
      </c>
      <c r="J57" s="49">
        <v>11.6</v>
      </c>
      <c r="K57" s="48" t="s">
        <v>102</v>
      </c>
      <c r="L57" s="49">
        <v>25.8</v>
      </c>
      <c r="M57" s="46"/>
      <c r="O57" s="51"/>
      <c r="P57" s="51"/>
    </row>
    <row r="58" spans="1:16" ht="14.1" customHeight="1">
      <c r="A58" s="105" t="s">
        <v>103</v>
      </c>
      <c r="B58" s="136"/>
      <c r="C58" s="48">
        <v>0.255</v>
      </c>
      <c r="D58" s="136"/>
      <c r="E58" s="48">
        <v>0.68899999999999995</v>
      </c>
      <c r="F58" s="136"/>
      <c r="G58" s="48">
        <v>5.4960000000000004</v>
      </c>
      <c r="H58" s="136"/>
      <c r="I58" s="48">
        <v>52.247999999999998</v>
      </c>
      <c r="J58" s="136"/>
      <c r="K58" s="48">
        <v>85.537999999999997</v>
      </c>
      <c r="L58" s="136"/>
      <c r="M58" s="46"/>
      <c r="N58" s="46"/>
      <c r="O58" s="46"/>
      <c r="P58" s="46"/>
    </row>
    <row r="59" spans="1:16" ht="14.1" customHeight="1">
      <c r="A59" s="105" t="s">
        <v>104</v>
      </c>
      <c r="B59" s="137"/>
      <c r="C59" s="48">
        <v>4.7E-2</v>
      </c>
      <c r="D59" s="137"/>
      <c r="E59" s="48">
        <v>0.108</v>
      </c>
      <c r="F59" s="137"/>
      <c r="G59" s="48">
        <v>0.42699999999999999</v>
      </c>
      <c r="H59" s="137"/>
      <c r="I59" s="48">
        <v>3.6179999999999999</v>
      </c>
      <c r="J59" s="137"/>
      <c r="K59" s="48">
        <v>6.391</v>
      </c>
      <c r="L59" s="137"/>
      <c r="M59" s="46"/>
      <c r="N59" s="46"/>
      <c r="O59" s="46"/>
      <c r="P59" s="46"/>
    </row>
    <row r="60" spans="1:16" ht="14.1" customHeight="1">
      <c r="A60" s="105" t="s">
        <v>36</v>
      </c>
      <c r="B60" s="137"/>
      <c r="C60" s="49">
        <v>18.399999999999999</v>
      </c>
      <c r="D60" s="137"/>
      <c r="E60" s="49">
        <v>15.7</v>
      </c>
      <c r="F60" s="137"/>
      <c r="G60" s="49">
        <v>7.8</v>
      </c>
      <c r="H60" s="137"/>
      <c r="I60" s="49">
        <v>6.9</v>
      </c>
      <c r="J60" s="137"/>
      <c r="K60" s="49">
        <v>7.5</v>
      </c>
      <c r="L60" s="137"/>
      <c r="M60" s="46"/>
      <c r="N60" s="46"/>
      <c r="O60" s="46"/>
      <c r="P60" s="46"/>
    </row>
    <row r="61" spans="1:16" ht="14.1" customHeight="1">
      <c r="A61" s="105" t="s">
        <v>37</v>
      </c>
      <c r="B61" s="137"/>
      <c r="C61" s="49">
        <v>27.5</v>
      </c>
      <c r="D61" s="137"/>
      <c r="E61" s="49">
        <v>14.8</v>
      </c>
      <c r="F61" s="137"/>
      <c r="G61" s="49">
        <v>9.9</v>
      </c>
      <c r="H61" s="137"/>
      <c r="I61" s="49">
        <v>4.5</v>
      </c>
      <c r="J61" s="137"/>
      <c r="K61" s="49">
        <v>14.1</v>
      </c>
      <c r="L61" s="137"/>
      <c r="M61" s="46"/>
      <c r="N61" s="46"/>
      <c r="O61" s="46"/>
      <c r="P61" s="46"/>
    </row>
    <row r="62" spans="1:16" ht="14.1" customHeight="1">
      <c r="A62" s="105" t="s">
        <v>5</v>
      </c>
      <c r="B62" s="138"/>
      <c r="C62" s="50">
        <v>6</v>
      </c>
      <c r="D62" s="138"/>
      <c r="E62" s="50">
        <v>6</v>
      </c>
      <c r="F62" s="138"/>
      <c r="G62" s="50">
        <v>6</v>
      </c>
      <c r="H62" s="138"/>
      <c r="I62" s="50">
        <v>6</v>
      </c>
      <c r="J62" s="138"/>
      <c r="K62" s="50">
        <v>6</v>
      </c>
      <c r="L62" s="138"/>
      <c r="M62" s="46"/>
      <c r="N62" s="46"/>
      <c r="O62" s="46"/>
      <c r="P62" s="46"/>
    </row>
    <row r="63" spans="1:16" ht="13.5" customHeight="1">
      <c r="A63" s="146" t="s">
        <v>107</v>
      </c>
      <c r="B63" s="147"/>
      <c r="C63" s="147"/>
      <c r="D63" s="147"/>
      <c r="E63" s="147"/>
      <c r="F63" s="147"/>
      <c r="G63" s="147"/>
      <c r="H63" s="46"/>
      <c r="I63" s="46"/>
      <c r="J63" s="46"/>
      <c r="K63" s="46"/>
      <c r="L63" s="46"/>
      <c r="M63" s="46"/>
      <c r="N63" s="46"/>
      <c r="O63" s="46"/>
      <c r="P63" s="46"/>
    </row>
    <row r="64" spans="1:16" s="9" customFormat="1">
      <c r="A64" s="9" t="s">
        <v>108</v>
      </c>
    </row>
  </sheetData>
  <mergeCells count="57">
    <mergeCell ref="J58:J62"/>
    <mergeCell ref="A63:G63"/>
    <mergeCell ref="A52:A57"/>
    <mergeCell ref="B52:B57"/>
    <mergeCell ref="B58:B62"/>
    <mergeCell ref="D58:D62"/>
    <mergeCell ref="F58:F62"/>
    <mergeCell ref="H58:H62"/>
    <mergeCell ref="H41:H45"/>
    <mergeCell ref="A49:A51"/>
    <mergeCell ref="B49:B51"/>
    <mergeCell ref="D49:D51"/>
    <mergeCell ref="F49:F51"/>
    <mergeCell ref="H49:H51"/>
    <mergeCell ref="A48:E48"/>
    <mergeCell ref="A46:G46"/>
    <mergeCell ref="H5:H7"/>
    <mergeCell ref="H25:H29"/>
    <mergeCell ref="B36:B40"/>
    <mergeCell ref="B25:B29"/>
    <mergeCell ref="A8:A13"/>
    <mergeCell ref="B8:B13"/>
    <mergeCell ref="A30:A35"/>
    <mergeCell ref="B30:B35"/>
    <mergeCell ref="A19:A24"/>
    <mergeCell ref="B19:B24"/>
    <mergeCell ref="F5:F7"/>
    <mergeCell ref="D36:D40"/>
    <mergeCell ref="F36:F40"/>
    <mergeCell ref="H36:H40"/>
    <mergeCell ref="F14:F18"/>
    <mergeCell ref="H14:H18"/>
    <mergeCell ref="A2:E2"/>
    <mergeCell ref="A4:E4"/>
    <mergeCell ref="B14:B18"/>
    <mergeCell ref="A5:A7"/>
    <mergeCell ref="B5:B7"/>
    <mergeCell ref="D5:D7"/>
    <mergeCell ref="D14:D18"/>
    <mergeCell ref="F25:F29"/>
    <mergeCell ref="D25:D29"/>
    <mergeCell ref="B41:B45"/>
    <mergeCell ref="D41:D45"/>
    <mergeCell ref="F41:F45"/>
    <mergeCell ref="L58:L62"/>
    <mergeCell ref="L5:L7"/>
    <mergeCell ref="L14:L18"/>
    <mergeCell ref="L25:L29"/>
    <mergeCell ref="L36:L40"/>
    <mergeCell ref="L41:L45"/>
    <mergeCell ref="J25:J29"/>
    <mergeCell ref="L49:L51"/>
    <mergeCell ref="J49:J51"/>
    <mergeCell ref="J5:J7"/>
    <mergeCell ref="J36:J40"/>
    <mergeCell ref="J14:J18"/>
    <mergeCell ref="J41:J45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&amp;C 1632MV7生物分析方法学验证数据</oddHeader>
    <oddFooter>&amp;C第&amp;P页，共&amp;N页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J45"/>
  <sheetViews>
    <sheetView view="pageBreakPreview" zoomScaleNormal="100" zoomScaleSheetLayoutView="100" workbookViewId="0">
      <selection activeCell="B53" sqref="B53:E61"/>
    </sheetView>
  </sheetViews>
  <sheetFormatPr defaultColWidth="8.875" defaultRowHeight="15.75" customHeight="1"/>
  <cols>
    <col min="1" max="1" width="13.625" style="6" customWidth="1"/>
    <col min="2" max="10" width="13.75" style="6" customWidth="1"/>
    <col min="11" max="11" width="10" style="6" customWidth="1"/>
    <col min="12" max="12" width="9.625" style="6" customWidth="1"/>
    <col min="13" max="13" width="8.5" style="6" customWidth="1"/>
    <col min="14" max="14" width="10.125" style="6" customWidth="1"/>
    <col min="15" max="15" width="12" style="6" customWidth="1"/>
    <col min="16" max="16" width="13.375" style="6" customWidth="1"/>
    <col min="17" max="16384" width="8.875" style="6"/>
  </cols>
  <sheetData>
    <row r="2" spans="1:10" ht="15.75" customHeight="1">
      <c r="A2" s="69" t="s">
        <v>83</v>
      </c>
    </row>
    <row r="4" spans="1:10" ht="15.75" customHeight="1">
      <c r="A4" s="150" t="s">
        <v>208</v>
      </c>
      <c r="B4" s="151"/>
      <c r="C4" s="151"/>
      <c r="D4" s="151"/>
      <c r="E4" s="151"/>
      <c r="F4" s="151"/>
      <c r="G4" s="151"/>
      <c r="H4" s="151"/>
      <c r="I4" s="151"/>
      <c r="J4" s="152"/>
    </row>
    <row r="5" spans="1:10" ht="15.75" customHeight="1">
      <c r="A5" s="157"/>
      <c r="B5" s="161" t="s">
        <v>3</v>
      </c>
      <c r="C5" s="161"/>
      <c r="D5" s="161"/>
      <c r="E5" s="158" t="s">
        <v>2</v>
      </c>
      <c r="F5" s="159"/>
      <c r="G5" s="160"/>
      <c r="H5" s="158" t="s">
        <v>1</v>
      </c>
      <c r="I5" s="159"/>
      <c r="J5" s="160"/>
    </row>
    <row r="6" spans="1:10" ht="29.45" customHeight="1">
      <c r="A6" s="157"/>
      <c r="B6" s="71" t="s">
        <v>84</v>
      </c>
      <c r="C6" s="70" t="s">
        <v>81</v>
      </c>
      <c r="D6" s="70" t="s">
        <v>45</v>
      </c>
      <c r="E6" s="70" t="s">
        <v>82</v>
      </c>
      <c r="F6" s="70" t="s">
        <v>81</v>
      </c>
      <c r="G6" s="70" t="s">
        <v>45</v>
      </c>
      <c r="H6" s="70" t="s">
        <v>141</v>
      </c>
      <c r="I6" s="70" t="s">
        <v>142</v>
      </c>
      <c r="J6" s="70" t="s">
        <v>45</v>
      </c>
    </row>
    <row r="7" spans="1:10" ht="15.75" customHeight="1">
      <c r="A7" s="70">
        <v>1</v>
      </c>
      <c r="B7" s="72">
        <v>5.3111999999999999E-2</v>
      </c>
      <c r="C7" s="72">
        <v>4.8640999999999997E-2</v>
      </c>
      <c r="D7" s="73">
        <f>ROUND(B7/C$13*100,1)</f>
        <v>107.9</v>
      </c>
      <c r="E7" s="72">
        <v>3.8477410000000001</v>
      </c>
      <c r="F7" s="72">
        <v>4.1176029999999999</v>
      </c>
      <c r="G7" s="73">
        <f>ROUND(E7/F$13*100,1)</f>
        <v>93.7</v>
      </c>
      <c r="H7" s="72">
        <v>6.1796100000000003</v>
      </c>
      <c r="I7" s="72">
        <v>6.2882499999999997</v>
      </c>
      <c r="J7" s="73">
        <f>ROUND(H7/I$13*100,1)</f>
        <v>100.5</v>
      </c>
    </row>
    <row r="8" spans="1:10" ht="15.75" customHeight="1">
      <c r="A8" s="70">
        <v>2</v>
      </c>
      <c r="B8" s="72">
        <v>5.5086000000000003E-2</v>
      </c>
      <c r="C8" s="72">
        <v>4.8667000000000002E-2</v>
      </c>
      <c r="D8" s="73">
        <f t="shared" ref="D8:D11" si="0">ROUND(B8/C$13*100,1)</f>
        <v>111.9</v>
      </c>
      <c r="E8" s="72">
        <v>4.1489320000000003</v>
      </c>
      <c r="F8" s="72">
        <v>4.139964</v>
      </c>
      <c r="G8" s="73">
        <f t="shared" ref="G8:G11" si="1">ROUND(E8/F$13*100,1)</f>
        <v>101</v>
      </c>
      <c r="H8" s="72">
        <v>6.2367309999999998</v>
      </c>
      <c r="I8" s="72">
        <v>6.200177</v>
      </c>
      <c r="J8" s="73">
        <f t="shared" ref="J8:J11" si="2">ROUND(H8/I$13*100,1)</f>
        <v>101.4</v>
      </c>
    </row>
    <row r="9" spans="1:10" ht="15.75" customHeight="1">
      <c r="A9" s="70">
        <v>3</v>
      </c>
      <c r="B9" s="72">
        <v>5.2684000000000002E-2</v>
      </c>
      <c r="C9" s="72">
        <v>4.7775999999999999E-2</v>
      </c>
      <c r="D9" s="73">
        <f t="shared" si="0"/>
        <v>107</v>
      </c>
      <c r="E9" s="72">
        <v>4.1371289999999998</v>
      </c>
      <c r="F9" s="72">
        <v>4.0439769999999999</v>
      </c>
      <c r="G9" s="73">
        <f t="shared" si="1"/>
        <v>100.8</v>
      </c>
      <c r="H9" s="72">
        <v>6.1665619999999999</v>
      </c>
      <c r="I9" s="72">
        <v>6.3061780000000001</v>
      </c>
      <c r="J9" s="73">
        <f t="shared" si="2"/>
        <v>100.2</v>
      </c>
    </row>
    <row r="10" spans="1:10" ht="15.75" customHeight="1">
      <c r="A10" s="70">
        <v>4</v>
      </c>
      <c r="B10" s="72">
        <v>5.1114E-2</v>
      </c>
      <c r="C10" s="72">
        <v>5.0347999999999997E-2</v>
      </c>
      <c r="D10" s="73">
        <f t="shared" si="0"/>
        <v>103.9</v>
      </c>
      <c r="E10" s="72">
        <v>4.3028149999999998</v>
      </c>
      <c r="F10" s="72">
        <v>4.0931670000000002</v>
      </c>
      <c r="G10" s="73">
        <f t="shared" si="1"/>
        <v>104.8</v>
      </c>
      <c r="H10" s="72">
        <v>5.9592660000000004</v>
      </c>
      <c r="I10" s="72">
        <v>6.0240320000000001</v>
      </c>
      <c r="J10" s="73">
        <f t="shared" si="2"/>
        <v>96.9</v>
      </c>
    </row>
    <row r="11" spans="1:10" ht="15.75" customHeight="1">
      <c r="A11" s="70">
        <v>5</v>
      </c>
      <c r="B11" s="72">
        <v>5.1333999999999998E-2</v>
      </c>
      <c r="C11" s="72">
        <v>5.0370999999999999E-2</v>
      </c>
      <c r="D11" s="73">
        <f t="shared" si="0"/>
        <v>104.3</v>
      </c>
      <c r="E11" s="72">
        <v>4.2466970000000002</v>
      </c>
      <c r="F11" s="72">
        <v>4.1199770000000004</v>
      </c>
      <c r="G11" s="73">
        <f t="shared" si="1"/>
        <v>103.4</v>
      </c>
      <c r="H11" s="72">
        <v>6.12643</v>
      </c>
      <c r="I11" s="72">
        <v>5.992972</v>
      </c>
      <c r="J11" s="73">
        <f t="shared" si="2"/>
        <v>99.6</v>
      </c>
    </row>
    <row r="12" spans="1:10" ht="15.75" customHeight="1">
      <c r="A12" s="70">
        <v>6</v>
      </c>
      <c r="B12" s="72">
        <v>5.0206000000000001E-2</v>
      </c>
      <c r="C12" s="72">
        <v>4.9494000000000003E-2</v>
      </c>
      <c r="D12" s="73">
        <f>ROUND(B12/C$13*100,1)</f>
        <v>102</v>
      </c>
      <c r="E12" s="72">
        <v>3.901532</v>
      </c>
      <c r="F12" s="72">
        <v>4.1206069999999997</v>
      </c>
      <c r="G12" s="73">
        <f>ROUND(E12/F$13*100,1)</f>
        <v>95</v>
      </c>
      <c r="H12" s="72">
        <v>6.3806229999999999</v>
      </c>
      <c r="I12" s="72">
        <v>6.0986149999999997</v>
      </c>
      <c r="J12" s="73">
        <f>ROUND(H12/I$13*100,1)</f>
        <v>103.7</v>
      </c>
    </row>
    <row r="13" spans="1:10" ht="15.75" customHeight="1">
      <c r="A13" s="70" t="s">
        <v>143</v>
      </c>
      <c r="B13" s="74">
        <f>ROUND(AVERAGEA(B7:B12),6)</f>
        <v>5.2255999999999997E-2</v>
      </c>
      <c r="C13" s="74">
        <f>ROUND(AVERAGEA(C7:C12),6)</f>
        <v>4.9216000000000003E-2</v>
      </c>
      <c r="D13" s="75">
        <f>ROUND(AVERAGE(D7:D12),1)</f>
        <v>106.2</v>
      </c>
      <c r="E13" s="74">
        <f>ROUND(AVERAGEA(E7:E12),6)</f>
        <v>4.0974740000000001</v>
      </c>
      <c r="F13" s="74">
        <f>ROUND(AVERAGEA(F7:F12),6)</f>
        <v>4.1058830000000004</v>
      </c>
      <c r="G13" s="75">
        <f>ROUND(AVERAGE(G7:G12),1)</f>
        <v>99.8</v>
      </c>
      <c r="H13" s="74">
        <f>ROUND(AVERAGEA(H7:H12),6)</f>
        <v>6.1748700000000003</v>
      </c>
      <c r="I13" s="74">
        <f>ROUND(AVERAGEA(I7:I12),6)</f>
        <v>6.1517039999999996</v>
      </c>
      <c r="J13" s="75">
        <f>ROUND(AVERAGE(J7:J12),1)</f>
        <v>100.4</v>
      </c>
    </row>
    <row r="14" spans="1:10" ht="15.75" customHeight="1">
      <c r="A14" s="70" t="s">
        <v>4</v>
      </c>
      <c r="B14" s="153"/>
      <c r="C14" s="154"/>
      <c r="D14" s="75">
        <f>ROUND(STDEV(D7:D12),1)</f>
        <v>3.5</v>
      </c>
      <c r="E14" s="153"/>
      <c r="F14" s="154"/>
      <c r="G14" s="75">
        <f>ROUND(STDEV(G7:G12),1)</f>
        <v>4.5</v>
      </c>
      <c r="H14" s="153"/>
      <c r="I14" s="154"/>
      <c r="J14" s="75">
        <f>ROUND(STDEV(J7:J12),1)</f>
        <v>2.2000000000000002</v>
      </c>
    </row>
    <row r="15" spans="1:10" ht="15.75" customHeight="1">
      <c r="A15" s="70" t="s">
        <v>41</v>
      </c>
      <c r="B15" s="155"/>
      <c r="C15" s="156"/>
      <c r="D15" s="75">
        <f>ROUND(D14/D13*100,1)</f>
        <v>3.3</v>
      </c>
      <c r="E15" s="155"/>
      <c r="F15" s="156"/>
      <c r="G15" s="75">
        <f>ROUND(G14/G13*100,1)</f>
        <v>4.5</v>
      </c>
      <c r="H15" s="155"/>
      <c r="I15" s="156"/>
      <c r="J15" s="75">
        <f>ROUND(J14/J13*100,1)</f>
        <v>2.2000000000000002</v>
      </c>
    </row>
    <row r="16" spans="1:10" ht="15.75" customHeight="1">
      <c r="A16" s="43" t="s">
        <v>144</v>
      </c>
      <c r="B16" s="148">
        <f>ROUND(AVERAGE(D13,G13,J13),1)</f>
        <v>102.1</v>
      </c>
      <c r="C16" s="149"/>
      <c r="D16" s="149"/>
      <c r="E16" s="149"/>
      <c r="F16" s="149"/>
      <c r="G16" s="149"/>
      <c r="H16" s="149"/>
      <c r="I16" s="149"/>
      <c r="J16" s="149"/>
    </row>
    <row r="17" spans="1:10" ht="15.75" customHeight="1">
      <c r="A17" s="43" t="s">
        <v>145</v>
      </c>
      <c r="B17" s="148">
        <f>ROUND(STDEV(D13,G13,J13)/B16*100,1)</f>
        <v>3.5</v>
      </c>
      <c r="C17" s="149"/>
      <c r="D17" s="149"/>
      <c r="E17" s="149"/>
      <c r="F17" s="149"/>
      <c r="G17" s="149"/>
      <c r="H17" s="149"/>
      <c r="I17" s="149"/>
      <c r="J17" s="149"/>
    </row>
    <row r="18" spans="1:10" ht="15.75" customHeight="1">
      <c r="B18" s="12"/>
      <c r="C18" s="5"/>
      <c r="D18" s="5"/>
      <c r="E18" s="5"/>
      <c r="F18" s="5"/>
      <c r="G18" s="5"/>
    </row>
    <row r="19" spans="1:10" ht="15.75" customHeight="1">
      <c r="B19" s="12"/>
      <c r="C19" s="5"/>
      <c r="D19" s="5"/>
      <c r="E19" s="5"/>
      <c r="F19" s="5"/>
      <c r="G19" s="5"/>
    </row>
    <row r="20" spans="1:10" ht="15.75" customHeight="1">
      <c r="B20" s="12"/>
      <c r="C20" s="5"/>
      <c r="D20" s="5"/>
      <c r="E20" s="5"/>
      <c r="F20" s="5"/>
      <c r="G20" s="5"/>
    </row>
    <row r="21" spans="1:10" ht="15.75" customHeight="1">
      <c r="B21" s="12"/>
      <c r="C21" s="5"/>
      <c r="D21" s="5"/>
      <c r="E21" s="5"/>
      <c r="F21" s="5"/>
      <c r="G21" s="5"/>
    </row>
    <row r="22" spans="1:10" ht="15.75" customHeight="1">
      <c r="B22" s="12"/>
      <c r="C22" s="5"/>
      <c r="D22" s="5"/>
      <c r="E22" s="5"/>
      <c r="F22" s="5"/>
      <c r="G22" s="5"/>
    </row>
    <row r="23" spans="1:10" ht="15.75" customHeight="1">
      <c r="B23" s="12"/>
      <c r="C23" s="5"/>
      <c r="D23" s="5"/>
      <c r="E23" s="5"/>
      <c r="F23" s="5"/>
      <c r="G23" s="5"/>
    </row>
    <row r="24" spans="1:10" ht="15.75" customHeight="1">
      <c r="B24" s="12"/>
      <c r="C24" s="5"/>
      <c r="D24" s="5"/>
      <c r="E24" s="5"/>
      <c r="F24" s="5"/>
      <c r="G24" s="5"/>
    </row>
    <row r="25" spans="1:10" ht="15.75" customHeight="1">
      <c r="B25" s="12"/>
      <c r="C25" s="5"/>
      <c r="D25" s="5"/>
      <c r="E25" s="5"/>
      <c r="F25" s="5"/>
      <c r="G25" s="5"/>
    </row>
    <row r="26" spans="1:10" ht="15.75" customHeight="1">
      <c r="B26" s="12"/>
      <c r="C26" s="5"/>
      <c r="D26" s="5"/>
      <c r="E26" s="5"/>
      <c r="F26" s="5"/>
      <c r="G26" s="5"/>
    </row>
    <row r="27" spans="1:10" ht="15.75" customHeight="1">
      <c r="B27" s="12"/>
      <c r="C27" s="5"/>
      <c r="D27" s="5"/>
      <c r="E27" s="5"/>
      <c r="F27" s="5"/>
      <c r="G27" s="5"/>
    </row>
    <row r="28" spans="1:10" ht="15.75" customHeight="1">
      <c r="B28" s="12"/>
      <c r="C28" s="5"/>
      <c r="D28" s="5"/>
      <c r="E28" s="5"/>
      <c r="F28" s="5"/>
      <c r="G28" s="5"/>
    </row>
    <row r="29" spans="1:10" ht="15.75" customHeight="1">
      <c r="B29" s="12"/>
      <c r="C29" s="5"/>
      <c r="D29" s="5"/>
      <c r="E29" s="5"/>
      <c r="F29" s="5"/>
      <c r="G29" s="5"/>
    </row>
    <row r="30" spans="1:10" ht="15.75" customHeight="1">
      <c r="B30" s="12"/>
      <c r="C30" s="5"/>
      <c r="D30" s="5"/>
      <c r="E30" s="5"/>
      <c r="F30" s="5"/>
      <c r="G30" s="5"/>
    </row>
    <row r="31" spans="1:10" ht="15.75" customHeight="1">
      <c r="B31" s="12"/>
      <c r="C31" s="5"/>
      <c r="D31" s="5"/>
      <c r="E31" s="5"/>
      <c r="F31" s="5"/>
      <c r="G31" s="5"/>
    </row>
    <row r="32" spans="1:10" ht="15.75" customHeight="1">
      <c r="B32" s="12"/>
      <c r="C32" s="5"/>
      <c r="D32" s="5"/>
      <c r="E32" s="5"/>
      <c r="F32" s="5"/>
      <c r="G32" s="5"/>
    </row>
    <row r="33" spans="2:7" ht="15.75" customHeight="1">
      <c r="B33" s="12"/>
      <c r="C33" s="5"/>
      <c r="D33" s="5"/>
      <c r="E33" s="5"/>
      <c r="F33" s="5"/>
      <c r="G33" s="5"/>
    </row>
    <row r="34" spans="2:7" ht="15.75" customHeight="1">
      <c r="B34" s="12"/>
      <c r="C34" s="5"/>
      <c r="D34" s="5"/>
      <c r="E34" s="5"/>
      <c r="F34" s="5"/>
      <c r="G34" s="5"/>
    </row>
    <row r="35" spans="2:7" ht="15.75" customHeight="1">
      <c r="B35" s="12"/>
      <c r="C35" s="5"/>
      <c r="D35" s="5"/>
      <c r="E35" s="5"/>
      <c r="F35" s="5"/>
      <c r="G35" s="5"/>
    </row>
    <row r="36" spans="2:7" ht="15.75" customHeight="1">
      <c r="B36" s="12"/>
      <c r="C36" s="5"/>
      <c r="D36" s="5"/>
      <c r="E36" s="5"/>
      <c r="F36" s="5"/>
      <c r="G36" s="5"/>
    </row>
    <row r="37" spans="2:7" ht="15.75" customHeight="1">
      <c r="B37" s="12"/>
      <c r="C37" s="5"/>
      <c r="D37" s="5"/>
      <c r="E37" s="5"/>
      <c r="F37" s="5"/>
      <c r="G37" s="5"/>
    </row>
    <row r="38" spans="2:7" ht="15.75" customHeight="1">
      <c r="B38" s="12"/>
      <c r="C38" s="5"/>
      <c r="D38" s="5"/>
      <c r="E38" s="5"/>
      <c r="F38" s="5"/>
      <c r="G38" s="5"/>
    </row>
    <row r="39" spans="2:7" ht="15.75" customHeight="1">
      <c r="B39" s="12"/>
      <c r="C39" s="5"/>
      <c r="D39" s="5"/>
      <c r="E39" s="5"/>
      <c r="F39" s="5"/>
      <c r="G39" s="5"/>
    </row>
    <row r="40" spans="2:7" ht="15.75" customHeight="1">
      <c r="B40" s="12"/>
      <c r="C40" s="5"/>
      <c r="D40" s="5"/>
      <c r="E40" s="5"/>
      <c r="F40" s="5"/>
      <c r="G40" s="5"/>
    </row>
    <row r="41" spans="2:7" ht="15.75" customHeight="1">
      <c r="B41" s="12"/>
      <c r="C41" s="5"/>
      <c r="D41" s="5"/>
      <c r="E41" s="5"/>
      <c r="F41" s="5"/>
      <c r="G41" s="5"/>
    </row>
    <row r="42" spans="2:7" ht="15.75" customHeight="1">
      <c r="B42" s="12"/>
      <c r="C42" s="5"/>
      <c r="D42" s="5"/>
      <c r="E42" s="5"/>
      <c r="F42" s="5"/>
      <c r="G42" s="5"/>
    </row>
    <row r="43" spans="2:7" ht="15.75" customHeight="1">
      <c r="B43" s="12"/>
      <c r="C43" s="5"/>
      <c r="D43" s="5"/>
      <c r="E43" s="5"/>
      <c r="F43" s="5"/>
      <c r="G43" s="5"/>
    </row>
    <row r="44" spans="2:7" ht="15.75" customHeight="1">
      <c r="B44" s="12"/>
      <c r="C44" s="5"/>
      <c r="D44" s="5"/>
      <c r="E44" s="5"/>
      <c r="F44" s="5"/>
      <c r="G44" s="5"/>
    </row>
    <row r="45" spans="2:7" ht="15.75" customHeight="1">
      <c r="B45" s="12"/>
      <c r="C45" s="5"/>
      <c r="D45" s="5"/>
      <c r="E45" s="5"/>
      <c r="F45" s="5"/>
      <c r="G45" s="5"/>
    </row>
  </sheetData>
  <mergeCells count="10">
    <mergeCell ref="B17:J17"/>
    <mergeCell ref="B16:J16"/>
    <mergeCell ref="A4:J4"/>
    <mergeCell ref="B14:C15"/>
    <mergeCell ref="E14:F15"/>
    <mergeCell ref="H14:I15"/>
    <mergeCell ref="A5:A6"/>
    <mergeCell ref="E5:G5"/>
    <mergeCell ref="H5:J5"/>
    <mergeCell ref="B5:D5"/>
  </mergeCells>
  <phoneticPr fontId="18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2:E31"/>
  <sheetViews>
    <sheetView view="pageBreakPreview" zoomScaleNormal="100" zoomScaleSheetLayoutView="100" workbookViewId="0">
      <selection activeCell="B53" sqref="B53:E61"/>
    </sheetView>
  </sheetViews>
  <sheetFormatPr defaultColWidth="8.875" defaultRowHeight="13.5"/>
  <cols>
    <col min="1" max="1" width="34.25" style="6" customWidth="1"/>
    <col min="2" max="3" width="21.625" style="6" customWidth="1"/>
    <col min="4" max="4" width="25.75" style="6" customWidth="1"/>
    <col min="5" max="5" width="14.875" style="6" customWidth="1"/>
    <col min="6" max="16384" width="8.875" style="6"/>
  </cols>
  <sheetData>
    <row r="2" spans="1:5" ht="15.75" customHeight="1">
      <c r="A2" s="6" t="s">
        <v>32</v>
      </c>
      <c r="E2" s="77"/>
    </row>
    <row r="3" spans="1:5" ht="15.95" customHeight="1">
      <c r="E3" s="77"/>
    </row>
    <row r="4" spans="1:5" ht="15.75" customHeight="1">
      <c r="A4" s="162" t="s">
        <v>209</v>
      </c>
      <c r="B4" s="117"/>
      <c r="C4" s="117"/>
      <c r="D4" s="118"/>
      <c r="E4" s="77"/>
    </row>
    <row r="5" spans="1:5" ht="15.75" customHeight="1">
      <c r="A5" s="163"/>
      <c r="B5" s="115" t="s">
        <v>158</v>
      </c>
      <c r="C5" s="115"/>
      <c r="D5" s="115"/>
      <c r="E5" s="77"/>
    </row>
    <row r="6" spans="1:5" ht="15.75" customHeight="1">
      <c r="A6" s="163"/>
      <c r="B6" s="32" t="s">
        <v>159</v>
      </c>
      <c r="C6" s="32" t="s">
        <v>160</v>
      </c>
      <c r="D6" s="32" t="s">
        <v>45</v>
      </c>
      <c r="E6" s="77"/>
    </row>
    <row r="7" spans="1:5" ht="15.75" customHeight="1">
      <c r="A7" s="32">
        <v>1</v>
      </c>
      <c r="B7" s="78">
        <v>0.235453</v>
      </c>
      <c r="C7" s="78">
        <v>0.24285999999999999</v>
      </c>
      <c r="D7" s="106">
        <f t="shared" ref="D7:D12" si="0">ROUND(B7/C$13*100,1)</f>
        <v>96.7</v>
      </c>
      <c r="E7" s="77"/>
    </row>
    <row r="8" spans="1:5" ht="15.75" customHeight="1">
      <c r="A8" s="32">
        <v>2</v>
      </c>
      <c r="B8" s="78">
        <v>0.24077699999999999</v>
      </c>
      <c r="C8" s="78">
        <v>0.24154800000000001</v>
      </c>
      <c r="D8" s="106">
        <f t="shared" si="0"/>
        <v>98.9</v>
      </c>
    </row>
    <row r="9" spans="1:5" ht="15.75" customHeight="1">
      <c r="A9" s="32">
        <v>3</v>
      </c>
      <c r="B9" s="78">
        <v>0.25019799999999998</v>
      </c>
      <c r="C9" s="78">
        <v>0.247281</v>
      </c>
      <c r="D9" s="106">
        <f t="shared" si="0"/>
        <v>102.7</v>
      </c>
    </row>
    <row r="10" spans="1:5" ht="15.75" customHeight="1">
      <c r="A10" s="32">
        <v>4</v>
      </c>
      <c r="B10" s="78">
        <v>0.24465200000000001</v>
      </c>
      <c r="C10" s="78">
        <v>0.24431</v>
      </c>
      <c r="D10" s="106">
        <f t="shared" si="0"/>
        <v>100.4</v>
      </c>
    </row>
    <row r="11" spans="1:5" ht="15.75" customHeight="1">
      <c r="A11" s="32">
        <v>5</v>
      </c>
      <c r="B11" s="78">
        <v>0.25399100000000002</v>
      </c>
      <c r="C11" s="78">
        <v>0.24271999999999999</v>
      </c>
      <c r="D11" s="106">
        <f t="shared" si="0"/>
        <v>104.3</v>
      </c>
    </row>
    <row r="12" spans="1:5" ht="15.75" customHeight="1">
      <c r="A12" s="32">
        <v>6</v>
      </c>
      <c r="B12" s="78">
        <v>0.24513299999999999</v>
      </c>
      <c r="C12" s="78">
        <v>0.24268300000000001</v>
      </c>
      <c r="D12" s="106">
        <f t="shared" si="0"/>
        <v>100.6</v>
      </c>
    </row>
    <row r="13" spans="1:5" ht="15.75" customHeight="1">
      <c r="A13" s="32" t="s">
        <v>210</v>
      </c>
      <c r="B13" s="109">
        <f>ROUND(AVERAGE(B7:B12),6)</f>
        <v>0.245034</v>
      </c>
      <c r="C13" s="109">
        <f>ROUND(AVERAGE(C7:C12),6)</f>
        <v>0.24356700000000001</v>
      </c>
      <c r="D13" s="8">
        <f>ROUND(AVERAGE(D7:D12),1)</f>
        <v>100.6</v>
      </c>
    </row>
    <row r="14" spans="1:5" ht="15.75" customHeight="1">
      <c r="A14" s="32" t="s">
        <v>4</v>
      </c>
      <c r="B14" s="109">
        <f>ROUND(STDEV(B7:B12),6)</f>
        <v>6.587E-3</v>
      </c>
      <c r="C14" s="109">
        <f>ROUND(STDEV(C7:C12),6)</f>
        <v>2.0209999999999998E-3</v>
      </c>
      <c r="D14" s="8">
        <f>ROUND(STDEV(D7:D12),1)</f>
        <v>2.7</v>
      </c>
    </row>
    <row r="15" spans="1:5" ht="15.75" customHeight="1">
      <c r="A15" s="32" t="s">
        <v>41</v>
      </c>
      <c r="B15" s="8">
        <f>ROUND(B14/B13*100,1)</f>
        <v>2.7</v>
      </c>
      <c r="C15" s="8">
        <f>ROUND(C14/C13*100,1)</f>
        <v>0.8</v>
      </c>
      <c r="D15" s="8">
        <f>ROUND(D14/D13*100,1)</f>
        <v>2.7</v>
      </c>
    </row>
    <row r="16" spans="1:5">
      <c r="A16" s="10"/>
      <c r="B16" s="10"/>
      <c r="C16" s="10"/>
      <c r="D16" s="5"/>
    </row>
    <row r="18" spans="1:4">
      <c r="A18" s="43" t="s">
        <v>211</v>
      </c>
      <c r="B18" s="32" t="s">
        <v>212</v>
      </c>
      <c r="C18" s="32" t="s">
        <v>162</v>
      </c>
      <c r="D18" s="44" t="s">
        <v>163</v>
      </c>
    </row>
    <row r="19" spans="1:4" ht="15">
      <c r="A19" s="107" t="s">
        <v>146</v>
      </c>
      <c r="B19" s="108">
        <v>4853849</v>
      </c>
      <c r="C19" s="108">
        <v>1178805</v>
      </c>
      <c r="D19" s="79">
        <f>ROUND(C19/B19,6)</f>
        <v>0.24285999999999999</v>
      </c>
    </row>
    <row r="20" spans="1:4" ht="15">
      <c r="A20" s="107" t="s">
        <v>147</v>
      </c>
      <c r="B20" s="108">
        <v>4884755</v>
      </c>
      <c r="C20" s="108">
        <v>1179903</v>
      </c>
      <c r="D20" s="79">
        <f t="shared" ref="D20:D24" si="1">ROUND(C20/B20,6)</f>
        <v>0.24154800000000001</v>
      </c>
    </row>
    <row r="21" spans="1:4" ht="15">
      <c r="A21" s="107" t="s">
        <v>148</v>
      </c>
      <c r="B21" s="108">
        <v>4831507</v>
      </c>
      <c r="C21" s="108">
        <v>1194742</v>
      </c>
      <c r="D21" s="79">
        <f t="shared" si="1"/>
        <v>0.247281</v>
      </c>
    </row>
    <row r="22" spans="1:4" ht="15">
      <c r="A22" s="107" t="s">
        <v>149</v>
      </c>
      <c r="B22" s="108">
        <v>4935075</v>
      </c>
      <c r="C22" s="108">
        <v>1205686</v>
      </c>
      <c r="D22" s="79">
        <f t="shared" si="1"/>
        <v>0.24431</v>
      </c>
    </row>
    <row r="23" spans="1:4" ht="15">
      <c r="A23" s="107" t="s">
        <v>150</v>
      </c>
      <c r="B23" s="108">
        <v>4840962</v>
      </c>
      <c r="C23" s="108">
        <v>1174997</v>
      </c>
      <c r="D23" s="79">
        <f t="shared" si="1"/>
        <v>0.24271999999999999</v>
      </c>
    </row>
    <row r="24" spans="1:4" ht="15">
      <c r="A24" s="107" t="s">
        <v>151</v>
      </c>
      <c r="B24" s="108">
        <v>4908547</v>
      </c>
      <c r="C24" s="108">
        <v>1191220</v>
      </c>
      <c r="D24" s="79">
        <f t="shared" si="1"/>
        <v>0.24268300000000001</v>
      </c>
    </row>
    <row r="25" spans="1:4" ht="15">
      <c r="A25" s="107" t="s">
        <v>152</v>
      </c>
      <c r="B25" s="108">
        <v>4979411</v>
      </c>
      <c r="C25" s="108">
        <v>1172417</v>
      </c>
      <c r="D25" s="79">
        <f>ROUND(C25/B25,6)</f>
        <v>0.235453</v>
      </c>
    </row>
    <row r="26" spans="1:4" ht="15">
      <c r="A26" s="107" t="s">
        <v>153</v>
      </c>
      <c r="B26" s="108">
        <v>4922359</v>
      </c>
      <c r="C26" s="108">
        <v>1185189</v>
      </c>
      <c r="D26" s="79">
        <f t="shared" ref="D26:D30" si="2">ROUND(C26/B26,6)</f>
        <v>0.24077699999999999</v>
      </c>
    </row>
    <row r="27" spans="1:4" ht="15">
      <c r="A27" s="107" t="s">
        <v>154</v>
      </c>
      <c r="B27" s="108">
        <v>4790958</v>
      </c>
      <c r="C27" s="108">
        <v>1198687</v>
      </c>
      <c r="D27" s="79">
        <f t="shared" si="2"/>
        <v>0.25019799999999998</v>
      </c>
    </row>
    <row r="28" spans="1:4" ht="15">
      <c r="A28" s="107" t="s">
        <v>155</v>
      </c>
      <c r="B28" s="108">
        <v>4948597</v>
      </c>
      <c r="C28" s="108">
        <v>1210682</v>
      </c>
      <c r="D28" s="79">
        <f t="shared" si="2"/>
        <v>0.24465200000000001</v>
      </c>
    </row>
    <row r="29" spans="1:4" ht="15">
      <c r="A29" s="107" t="s">
        <v>156</v>
      </c>
      <c r="B29" s="108">
        <v>4898758</v>
      </c>
      <c r="C29" s="108">
        <v>1244238</v>
      </c>
      <c r="D29" s="79">
        <f t="shared" si="2"/>
        <v>0.25399100000000002</v>
      </c>
    </row>
    <row r="30" spans="1:4" ht="15">
      <c r="A30" s="107" t="s">
        <v>157</v>
      </c>
      <c r="B30" s="108">
        <v>4909301</v>
      </c>
      <c r="C30" s="108">
        <v>1203430</v>
      </c>
      <c r="D30" s="80">
        <f t="shared" si="2"/>
        <v>0.24513299999999999</v>
      </c>
    </row>
    <row r="31" spans="1:4">
      <c r="A31" s="5"/>
      <c r="B31" s="81"/>
      <c r="C31" s="81"/>
      <c r="D31" s="82"/>
    </row>
  </sheetData>
  <mergeCells count="3">
    <mergeCell ref="A4:D4"/>
    <mergeCell ref="A5:A6"/>
    <mergeCell ref="B5:D5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82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2:D19"/>
  <sheetViews>
    <sheetView view="pageBreakPreview" zoomScaleNormal="100" zoomScaleSheetLayoutView="100" workbookViewId="0">
      <selection activeCell="B53" sqref="B53:E61"/>
    </sheetView>
  </sheetViews>
  <sheetFormatPr defaultColWidth="8.875" defaultRowHeight="13.5"/>
  <cols>
    <col min="1" max="1" width="17" style="9" customWidth="1"/>
    <col min="2" max="2" width="13.875" style="6" bestFit="1" customWidth="1"/>
    <col min="3" max="3" width="20" style="9" customWidth="1"/>
    <col min="4" max="4" width="17.625" style="9" customWidth="1"/>
    <col min="5" max="16384" width="8.875" style="9"/>
  </cols>
  <sheetData>
    <row r="2" spans="1:4">
      <c r="A2" s="111" t="s">
        <v>31</v>
      </c>
      <c r="B2" s="111"/>
      <c r="C2" s="111"/>
      <c r="D2" s="111"/>
    </row>
    <row r="3" spans="1:4">
      <c r="A3" s="11"/>
      <c r="B3" s="11"/>
      <c r="C3" s="11"/>
      <c r="D3" s="11"/>
    </row>
    <row r="4" spans="1:4">
      <c r="A4" s="6" t="s">
        <v>85</v>
      </c>
    </row>
    <row r="5" spans="1:4" ht="15" customHeight="1">
      <c r="A5" s="129" t="s">
        <v>25</v>
      </c>
      <c r="B5" s="129" t="s">
        <v>10</v>
      </c>
      <c r="C5" s="32" t="s">
        <v>164</v>
      </c>
      <c r="D5" s="129" t="s">
        <v>44</v>
      </c>
    </row>
    <row r="6" spans="1:4" ht="15" customHeight="1">
      <c r="A6" s="130"/>
      <c r="B6" s="130"/>
      <c r="C6" s="67">
        <v>500</v>
      </c>
      <c r="D6" s="130"/>
    </row>
    <row r="7" spans="1:4" ht="15" customHeight="1">
      <c r="A7" s="131"/>
      <c r="B7" s="131"/>
      <c r="C7" s="33" t="s">
        <v>6</v>
      </c>
      <c r="D7" s="131"/>
    </row>
    <row r="8" spans="1:4" ht="15" customHeight="1">
      <c r="A8" s="125">
        <v>45532</v>
      </c>
      <c r="B8" s="129">
        <v>1</v>
      </c>
      <c r="C8" s="83">
        <v>509.13099999999997</v>
      </c>
      <c r="D8" s="8">
        <f t="shared" ref="D8:D13" si="0">ROUND((C8-C$6)/C$6*100,1)</f>
        <v>1.8</v>
      </c>
    </row>
    <row r="9" spans="1:4" ht="15" customHeight="1">
      <c r="A9" s="125"/>
      <c r="B9" s="130"/>
      <c r="C9" s="83">
        <v>503.262</v>
      </c>
      <c r="D9" s="8">
        <f t="shared" si="0"/>
        <v>0.7</v>
      </c>
    </row>
    <row r="10" spans="1:4" ht="15" customHeight="1">
      <c r="A10" s="125"/>
      <c r="B10" s="130"/>
      <c r="C10" s="83">
        <v>523.74900000000002</v>
      </c>
      <c r="D10" s="8">
        <f t="shared" si="0"/>
        <v>4.7</v>
      </c>
    </row>
    <row r="11" spans="1:4" ht="15" customHeight="1">
      <c r="A11" s="125"/>
      <c r="B11" s="130"/>
      <c r="C11" s="83">
        <v>492.09699999999998</v>
      </c>
      <c r="D11" s="8">
        <f t="shared" si="0"/>
        <v>-1.6</v>
      </c>
    </row>
    <row r="12" spans="1:4" ht="15" customHeight="1">
      <c r="A12" s="125"/>
      <c r="B12" s="130"/>
      <c r="C12" s="83">
        <v>516.52700000000004</v>
      </c>
      <c r="D12" s="8">
        <f t="shared" si="0"/>
        <v>3.3</v>
      </c>
    </row>
    <row r="13" spans="1:4" ht="15" customHeight="1">
      <c r="A13" s="125"/>
      <c r="B13" s="131"/>
      <c r="C13" s="83">
        <v>514.73199999999997</v>
      </c>
      <c r="D13" s="8">
        <f t="shared" si="0"/>
        <v>2.9</v>
      </c>
    </row>
    <row r="14" spans="1:4" ht="15" customHeight="1">
      <c r="A14" s="32" t="s">
        <v>161</v>
      </c>
      <c r="B14" s="133"/>
      <c r="C14" s="7">
        <f>ROUND(AVERAGE(C8:C13),3)</f>
        <v>509.916</v>
      </c>
      <c r="D14" s="133"/>
    </row>
    <row r="15" spans="1:4" ht="15" customHeight="1">
      <c r="A15" s="32" t="s">
        <v>4</v>
      </c>
      <c r="B15" s="134"/>
      <c r="C15" s="7">
        <f>ROUND(STDEV(C8:C13),3)</f>
        <v>11.141</v>
      </c>
      <c r="D15" s="134"/>
    </row>
    <row r="16" spans="1:4" ht="15" customHeight="1">
      <c r="A16" s="32" t="s">
        <v>41</v>
      </c>
      <c r="B16" s="134"/>
      <c r="C16" s="8">
        <f>ROUND(C15/C14*100,1)</f>
        <v>2.2000000000000002</v>
      </c>
      <c r="D16" s="134"/>
    </row>
    <row r="17" spans="1:4" ht="15" customHeight="1">
      <c r="A17" s="32" t="s">
        <v>42</v>
      </c>
      <c r="B17" s="134"/>
      <c r="C17" s="8">
        <f>ROUND(C14/C$6*100,1)</f>
        <v>102</v>
      </c>
      <c r="D17" s="134"/>
    </row>
    <row r="18" spans="1:4" ht="15" customHeight="1">
      <c r="A18" s="32" t="s">
        <v>5</v>
      </c>
      <c r="B18" s="135"/>
      <c r="C18" s="32">
        <v>6</v>
      </c>
      <c r="D18" s="135"/>
    </row>
    <row r="19" spans="1:4">
      <c r="A19" s="10"/>
      <c r="B19" s="10"/>
      <c r="C19" s="10"/>
      <c r="D19" s="10"/>
    </row>
  </sheetData>
  <mergeCells count="8">
    <mergeCell ref="A2:D2"/>
    <mergeCell ref="B14:B18"/>
    <mergeCell ref="D5:D7"/>
    <mergeCell ref="B5:B7"/>
    <mergeCell ref="A5:A7"/>
    <mergeCell ref="A8:A13"/>
    <mergeCell ref="B8:B13"/>
    <mergeCell ref="D14:D18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J64"/>
  <sheetViews>
    <sheetView view="pageBreakPreview" zoomScaleNormal="100" zoomScaleSheetLayoutView="100" workbookViewId="0">
      <selection activeCell="B53" sqref="B53:E61"/>
    </sheetView>
  </sheetViews>
  <sheetFormatPr defaultColWidth="8.875" defaultRowHeight="13.5"/>
  <cols>
    <col min="1" max="1" width="18.25" style="3" customWidth="1"/>
    <col min="2" max="3" width="14.625" style="3" customWidth="1"/>
    <col min="4" max="7" width="14.375" style="3" customWidth="1"/>
    <col min="8" max="8" width="12.375" style="3" customWidth="1"/>
    <col min="9" max="9" width="8.875" style="3"/>
    <col min="10" max="10" width="16.875" style="3" customWidth="1"/>
    <col min="11" max="16384" width="8.875" style="3"/>
  </cols>
  <sheetData>
    <row r="1" spans="1:10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>
      <c r="A2" s="111" t="s">
        <v>30</v>
      </c>
      <c r="B2" s="111"/>
      <c r="C2" s="111"/>
      <c r="D2" s="9"/>
      <c r="E2" s="9"/>
      <c r="F2" s="9"/>
      <c r="G2" s="9"/>
      <c r="H2" s="9"/>
      <c r="I2" s="9"/>
      <c r="J2" s="9"/>
    </row>
    <row r="3" spans="1:10">
      <c r="A3" s="11"/>
      <c r="B3" s="11"/>
      <c r="C3" s="11"/>
      <c r="D3" s="9"/>
      <c r="E3" s="9"/>
      <c r="F3" s="9"/>
      <c r="G3" s="9"/>
      <c r="H3" s="9"/>
      <c r="I3" s="9"/>
      <c r="J3" s="9"/>
    </row>
    <row r="4" spans="1:10" s="4" customFormat="1">
      <c r="A4" s="9" t="s">
        <v>85</v>
      </c>
      <c r="B4" s="9"/>
      <c r="C4" s="9"/>
      <c r="D4" s="9"/>
      <c r="E4" s="9"/>
      <c r="F4" s="9"/>
      <c r="G4" s="9"/>
      <c r="H4" s="9"/>
      <c r="I4" s="30" t="s">
        <v>52</v>
      </c>
      <c r="J4" s="84">
        <v>45533.75</v>
      </c>
    </row>
    <row r="5" spans="1:10" ht="14.25" customHeight="1">
      <c r="A5" s="52" t="s">
        <v>165</v>
      </c>
      <c r="B5" s="9"/>
      <c r="C5" s="11"/>
      <c r="D5" s="11"/>
      <c r="E5" s="11"/>
      <c r="F5" s="9"/>
      <c r="G5" s="9"/>
      <c r="H5" s="9"/>
      <c r="I5" s="30" t="s">
        <v>166</v>
      </c>
      <c r="J5" s="84">
        <v>45534.426388888889</v>
      </c>
    </row>
    <row r="6" spans="1:10" ht="13.5" customHeight="1">
      <c r="A6" s="129" t="s">
        <v>25</v>
      </c>
      <c r="B6" s="129" t="s">
        <v>10</v>
      </c>
      <c r="C6" s="32" t="s">
        <v>3</v>
      </c>
      <c r="D6" s="115" t="s">
        <v>35</v>
      </c>
      <c r="E6" s="32" t="s">
        <v>1</v>
      </c>
      <c r="F6" s="115" t="s">
        <v>35</v>
      </c>
      <c r="G6" s="9"/>
      <c r="H6" s="9"/>
      <c r="I6" s="5" t="s">
        <v>49</v>
      </c>
      <c r="J6" s="85">
        <f>(J5-J4)*24</f>
        <v>16.233333333337214</v>
      </c>
    </row>
    <row r="7" spans="1:10">
      <c r="A7" s="130"/>
      <c r="B7" s="130"/>
      <c r="C7" s="67">
        <v>0.6</v>
      </c>
      <c r="D7" s="115"/>
      <c r="E7" s="67">
        <v>75</v>
      </c>
      <c r="F7" s="115"/>
      <c r="G7" s="9"/>
      <c r="H7" s="9"/>
      <c r="I7" s="9"/>
      <c r="J7" s="9"/>
    </row>
    <row r="8" spans="1:10">
      <c r="A8" s="131"/>
      <c r="B8" s="131"/>
      <c r="C8" s="33" t="s">
        <v>6</v>
      </c>
      <c r="D8" s="115"/>
      <c r="E8" s="33" t="s">
        <v>6</v>
      </c>
      <c r="F8" s="115"/>
      <c r="G8" s="9"/>
      <c r="H8" s="9"/>
      <c r="I8" s="9"/>
      <c r="J8" s="9"/>
    </row>
    <row r="9" spans="1:10">
      <c r="A9" s="125">
        <v>45534</v>
      </c>
      <c r="B9" s="129">
        <v>3</v>
      </c>
      <c r="C9" s="83">
        <v>0.61199999999999999</v>
      </c>
      <c r="D9" s="8">
        <f t="shared" ref="D9:D14" si="0">ROUND((C9-C$7)/C$7*100,1)</f>
        <v>2</v>
      </c>
      <c r="E9" s="83">
        <v>81.802000000000007</v>
      </c>
      <c r="F9" s="8">
        <f t="shared" ref="F9:F14" si="1">ROUND((E9-E$7)/E$7*100,1)</f>
        <v>9.1</v>
      </c>
      <c r="G9" s="9"/>
      <c r="H9" s="9"/>
      <c r="I9" s="9"/>
      <c r="J9" s="9"/>
    </row>
    <row r="10" spans="1:10">
      <c r="A10" s="125"/>
      <c r="B10" s="130"/>
      <c r="C10" s="83">
        <v>0.60399999999999998</v>
      </c>
      <c r="D10" s="8">
        <f t="shared" si="0"/>
        <v>0.7</v>
      </c>
      <c r="E10" s="83">
        <v>86.938000000000002</v>
      </c>
      <c r="F10" s="8">
        <f t="shared" si="1"/>
        <v>15.9</v>
      </c>
      <c r="G10" s="9"/>
      <c r="H10" s="9"/>
      <c r="I10" s="9"/>
      <c r="J10" s="9"/>
    </row>
    <row r="11" spans="1:10">
      <c r="A11" s="125"/>
      <c r="B11" s="130"/>
      <c r="C11" s="83">
        <v>0.60199999999999998</v>
      </c>
      <c r="D11" s="8">
        <f t="shared" si="0"/>
        <v>0.3</v>
      </c>
      <c r="E11" s="83">
        <v>79.427000000000007</v>
      </c>
      <c r="F11" s="8">
        <f t="shared" si="1"/>
        <v>5.9</v>
      </c>
      <c r="G11" s="9"/>
      <c r="H11" s="9"/>
      <c r="I11" s="9"/>
      <c r="J11" s="9"/>
    </row>
    <row r="12" spans="1:10">
      <c r="A12" s="125"/>
      <c r="B12" s="130"/>
      <c r="C12" s="83">
        <v>0.57599999999999996</v>
      </c>
      <c r="D12" s="8">
        <f t="shared" si="0"/>
        <v>-4</v>
      </c>
      <c r="E12" s="83">
        <v>81.367000000000004</v>
      </c>
      <c r="F12" s="8">
        <f t="shared" si="1"/>
        <v>8.5</v>
      </c>
      <c r="G12" s="9"/>
      <c r="H12" s="9"/>
      <c r="I12" s="9"/>
      <c r="J12" s="9"/>
    </row>
    <row r="13" spans="1:10">
      <c r="A13" s="125"/>
      <c r="B13" s="130"/>
      <c r="C13" s="83">
        <v>0.53800000000000003</v>
      </c>
      <c r="D13" s="8">
        <f t="shared" si="0"/>
        <v>-10.3</v>
      </c>
      <c r="E13" s="83">
        <v>80.19</v>
      </c>
      <c r="F13" s="8">
        <f t="shared" si="1"/>
        <v>6.9</v>
      </c>
      <c r="G13" s="9"/>
      <c r="H13" s="9"/>
      <c r="I13" s="9"/>
      <c r="J13" s="9"/>
    </row>
    <row r="14" spans="1:10">
      <c r="A14" s="125"/>
      <c r="B14" s="131"/>
      <c r="C14" s="83">
        <v>0.53700000000000003</v>
      </c>
      <c r="D14" s="8">
        <f t="shared" si="0"/>
        <v>-10.5</v>
      </c>
      <c r="E14" s="83">
        <v>81.137</v>
      </c>
      <c r="F14" s="8">
        <f t="shared" si="1"/>
        <v>8.1999999999999993</v>
      </c>
      <c r="G14" s="9"/>
      <c r="H14" s="9"/>
      <c r="I14" s="9"/>
      <c r="J14" s="9"/>
    </row>
    <row r="15" spans="1:10">
      <c r="A15" s="32" t="s">
        <v>17</v>
      </c>
      <c r="B15" s="133"/>
      <c r="C15" s="7">
        <f>ROUND(AVERAGE(C9:C14),3)</f>
        <v>0.57799999999999996</v>
      </c>
      <c r="D15" s="133"/>
      <c r="E15" s="7">
        <f>ROUND(AVERAGE(E9:E14),3)</f>
        <v>81.81</v>
      </c>
      <c r="F15" s="133"/>
      <c r="G15" s="9"/>
      <c r="H15" s="9"/>
      <c r="I15" s="9"/>
      <c r="J15" s="9"/>
    </row>
    <row r="16" spans="1:10">
      <c r="A16" s="32" t="s">
        <v>4</v>
      </c>
      <c r="B16" s="134"/>
      <c r="C16" s="7">
        <f>ROUND(STDEV(C9:C14),3)</f>
        <v>3.4000000000000002E-2</v>
      </c>
      <c r="D16" s="134"/>
      <c r="E16" s="7">
        <f>ROUND(STDEV(E9:E14),3)</f>
        <v>2.6549999999999998</v>
      </c>
      <c r="F16" s="134"/>
      <c r="G16" s="9"/>
      <c r="H16" s="9"/>
      <c r="I16" s="9"/>
      <c r="J16" s="9"/>
    </row>
    <row r="17" spans="1:10">
      <c r="A17" s="32" t="s">
        <v>41</v>
      </c>
      <c r="B17" s="134"/>
      <c r="C17" s="8">
        <f>ROUND(C16/C15*100,1)</f>
        <v>5.9</v>
      </c>
      <c r="D17" s="134"/>
      <c r="E17" s="8">
        <f>ROUND(E16/E15*100,1)</f>
        <v>3.2</v>
      </c>
      <c r="F17" s="134"/>
      <c r="G17" s="9"/>
      <c r="H17" s="9"/>
      <c r="I17" s="9"/>
      <c r="J17" s="9"/>
    </row>
    <row r="18" spans="1:10">
      <c r="A18" s="32" t="s">
        <v>42</v>
      </c>
      <c r="B18" s="134"/>
      <c r="C18" s="8">
        <f>ROUND(C15/C$7*100,1)</f>
        <v>96.3</v>
      </c>
      <c r="D18" s="134"/>
      <c r="E18" s="8">
        <f>ROUND(E15/E$7*100,1)</f>
        <v>109.1</v>
      </c>
      <c r="F18" s="134"/>
      <c r="G18" s="9"/>
      <c r="H18" s="9"/>
      <c r="I18" s="9"/>
      <c r="J18" s="9"/>
    </row>
    <row r="19" spans="1:10">
      <c r="A19" s="32" t="s">
        <v>5</v>
      </c>
      <c r="B19" s="135"/>
      <c r="C19" s="32">
        <v>6</v>
      </c>
      <c r="D19" s="135"/>
      <c r="E19" s="32">
        <v>6</v>
      </c>
      <c r="F19" s="135"/>
      <c r="G19" s="9"/>
      <c r="H19" s="9"/>
      <c r="I19" s="9"/>
      <c r="J19" s="9"/>
    </row>
    <row r="20" spans="1:10">
      <c r="A20" s="20"/>
      <c r="B20" s="20"/>
      <c r="C20" s="20"/>
      <c r="D20" s="20"/>
      <c r="E20" s="20"/>
      <c r="I20" s="4"/>
    </row>
    <row r="21" spans="1:10">
      <c r="I21" s="4"/>
    </row>
    <row r="22" spans="1:10" s="4" customFormat="1">
      <c r="A22" s="9" t="s">
        <v>169</v>
      </c>
      <c r="I22" s="30" t="s">
        <v>52</v>
      </c>
      <c r="J22" s="84">
        <v>45533.75</v>
      </c>
    </row>
    <row r="23" spans="1:10">
      <c r="A23" s="52" t="s">
        <v>165</v>
      </c>
      <c r="B23" s="69"/>
      <c r="C23" s="21"/>
      <c r="D23" s="21"/>
      <c r="E23" s="21"/>
      <c r="F23" s="21"/>
      <c r="G23" s="21"/>
      <c r="H23" s="21"/>
      <c r="I23" s="35" t="s">
        <v>53</v>
      </c>
      <c r="J23" s="84">
        <v>45534.426388888889</v>
      </c>
    </row>
    <row r="24" spans="1:10">
      <c r="A24" s="171" t="s">
        <v>22</v>
      </c>
      <c r="B24" s="129" t="s">
        <v>10</v>
      </c>
      <c r="C24" s="129" t="s">
        <v>18</v>
      </c>
      <c r="D24" s="112" t="s">
        <v>170</v>
      </c>
      <c r="E24" s="112"/>
      <c r="F24" s="112"/>
      <c r="G24" s="112"/>
      <c r="H24" s="10"/>
      <c r="I24" s="5" t="s">
        <v>49</v>
      </c>
      <c r="J24" s="85">
        <f>(J23-J22)*24</f>
        <v>16.233333333337214</v>
      </c>
    </row>
    <row r="25" spans="1:10" ht="27">
      <c r="A25" s="172"/>
      <c r="B25" s="130"/>
      <c r="C25" s="130"/>
      <c r="D25" s="31" t="s">
        <v>167</v>
      </c>
      <c r="E25" s="7" t="s">
        <v>171</v>
      </c>
      <c r="F25" s="31" t="s">
        <v>168</v>
      </c>
      <c r="G25" s="7" t="s">
        <v>172</v>
      </c>
      <c r="H25" s="88"/>
    </row>
    <row r="26" spans="1:10" ht="13.9" customHeight="1">
      <c r="A26" s="172"/>
      <c r="B26" s="130"/>
      <c r="C26" s="130"/>
      <c r="D26" s="174" t="s">
        <v>173</v>
      </c>
      <c r="E26" s="175"/>
      <c r="F26" s="176" t="s">
        <v>173</v>
      </c>
      <c r="G26" s="115"/>
      <c r="H26" s="16"/>
    </row>
    <row r="27" spans="1:10" ht="15">
      <c r="A27" s="173"/>
      <c r="B27" s="131"/>
      <c r="C27" s="131"/>
      <c r="D27" s="32" t="s">
        <v>20</v>
      </c>
      <c r="E27" s="32" t="s">
        <v>19</v>
      </c>
      <c r="F27" s="32" t="s">
        <v>20</v>
      </c>
      <c r="G27" s="32" t="s">
        <v>19</v>
      </c>
      <c r="H27" s="16"/>
    </row>
    <row r="28" spans="1:10">
      <c r="A28" s="177" t="s">
        <v>174</v>
      </c>
      <c r="B28" s="179" t="s">
        <v>175</v>
      </c>
      <c r="C28" s="32">
        <v>1</v>
      </c>
      <c r="D28" s="83">
        <v>5.0460000000000003</v>
      </c>
      <c r="E28" s="87">
        <v>4.1180000000000003</v>
      </c>
      <c r="F28" s="87">
        <v>74.037000000000006</v>
      </c>
      <c r="G28" s="87">
        <v>75.796000000000006</v>
      </c>
      <c r="H28" s="89"/>
    </row>
    <row r="29" spans="1:10">
      <c r="A29" s="178"/>
      <c r="B29" s="130"/>
      <c r="C29" s="32">
        <v>2</v>
      </c>
      <c r="D29" s="83">
        <v>4.8250000000000002</v>
      </c>
      <c r="E29" s="87">
        <v>4.4089999999999998</v>
      </c>
      <c r="F29" s="87">
        <v>76.712999999999994</v>
      </c>
      <c r="G29" s="87">
        <v>76.049000000000007</v>
      </c>
      <c r="H29" s="89"/>
    </row>
    <row r="30" spans="1:10">
      <c r="A30" s="178"/>
      <c r="B30" s="130"/>
      <c r="C30" s="32">
        <v>3</v>
      </c>
      <c r="D30" s="83">
        <v>4.7080000000000002</v>
      </c>
      <c r="E30" s="87">
        <v>4.4240000000000004</v>
      </c>
      <c r="F30" s="87">
        <v>74.674999999999997</v>
      </c>
      <c r="G30" s="87">
        <v>76.188999999999993</v>
      </c>
      <c r="H30" s="89"/>
    </row>
    <row r="31" spans="1:10">
      <c r="A31" s="178"/>
      <c r="B31" s="130"/>
      <c r="C31" s="32">
        <v>4</v>
      </c>
      <c r="D31" s="83">
        <v>4.7119999999999997</v>
      </c>
      <c r="E31" s="87">
        <v>4.0960000000000001</v>
      </c>
      <c r="F31" s="87">
        <v>81.492000000000004</v>
      </c>
      <c r="G31" s="87">
        <v>74.944000000000003</v>
      </c>
      <c r="H31" s="89"/>
    </row>
    <row r="32" spans="1:10">
      <c r="A32" s="178"/>
      <c r="B32" s="130"/>
      <c r="C32" s="32">
        <v>5</v>
      </c>
      <c r="D32" s="83">
        <v>4.835</v>
      </c>
      <c r="E32" s="87">
        <v>4.5910000000000002</v>
      </c>
      <c r="F32" s="87">
        <v>77.88</v>
      </c>
      <c r="G32" s="87">
        <v>73.242999999999995</v>
      </c>
      <c r="H32" s="89"/>
    </row>
    <row r="33" spans="1:8">
      <c r="A33" s="178"/>
      <c r="B33" s="130"/>
      <c r="C33" s="34">
        <v>6</v>
      </c>
      <c r="D33" s="83">
        <v>4.7560000000000002</v>
      </c>
      <c r="E33" s="87">
        <v>4.2519999999999998</v>
      </c>
      <c r="F33" s="87">
        <v>73.340999999999994</v>
      </c>
      <c r="G33" s="87">
        <v>78.757999999999996</v>
      </c>
      <c r="H33" s="89"/>
    </row>
    <row r="34" spans="1:8">
      <c r="A34" s="32" t="s">
        <v>17</v>
      </c>
      <c r="B34" s="164"/>
      <c r="C34" s="165"/>
      <c r="D34" s="7">
        <f>ROUND(AVERAGE(D28:D33),3)</f>
        <v>4.8140000000000001</v>
      </c>
      <c r="E34" s="7">
        <f t="shared" ref="E34:G34" si="2">ROUND(AVERAGE(E28:E33),3)</f>
        <v>4.3150000000000004</v>
      </c>
      <c r="F34" s="7">
        <f t="shared" si="2"/>
        <v>76.355999999999995</v>
      </c>
      <c r="G34" s="7">
        <f t="shared" si="2"/>
        <v>75.83</v>
      </c>
      <c r="H34" s="89"/>
    </row>
    <row r="35" spans="1:8">
      <c r="A35" s="32" t="s">
        <v>4</v>
      </c>
      <c r="B35" s="166"/>
      <c r="C35" s="167"/>
      <c r="D35" s="7">
        <f>ROUND(STDEV(D28:D33),3)</f>
        <v>0.126</v>
      </c>
      <c r="E35" s="7">
        <f t="shared" ref="E35:G35" si="3">ROUND(STDEV(E28:E33),3)</f>
        <v>0.19400000000000001</v>
      </c>
      <c r="F35" s="7">
        <f t="shared" si="3"/>
        <v>3.0369999999999999</v>
      </c>
      <c r="G35" s="7">
        <f t="shared" si="3"/>
        <v>1.802</v>
      </c>
      <c r="H35" s="89"/>
    </row>
    <row r="36" spans="1:8">
      <c r="A36" s="32" t="s">
        <v>41</v>
      </c>
      <c r="B36" s="166"/>
      <c r="C36" s="167"/>
      <c r="D36" s="23">
        <f>ROUND(D35/D34*100,1)</f>
        <v>2.6</v>
      </c>
      <c r="E36" s="23">
        <f>ROUND(E35/E34*100,1)</f>
        <v>4.5</v>
      </c>
      <c r="F36" s="23">
        <f>ROUND(F35/F34*100,1)</f>
        <v>4</v>
      </c>
      <c r="G36" s="23">
        <f>ROUND(G35/G34*100,1)</f>
        <v>2.4</v>
      </c>
      <c r="H36" s="90"/>
    </row>
    <row r="37" spans="1:8">
      <c r="A37" s="32" t="s">
        <v>43</v>
      </c>
      <c r="B37" s="168"/>
      <c r="C37" s="169"/>
      <c r="D37" s="170">
        <f>ROUND((D34-E34)/E34*100,1)</f>
        <v>11.6</v>
      </c>
      <c r="E37" s="170"/>
      <c r="F37" s="170">
        <f>ROUND((F34-G34)/G34*100,1)</f>
        <v>0.7</v>
      </c>
      <c r="G37" s="170"/>
      <c r="H37" s="91"/>
    </row>
    <row r="63" spans="2:2">
      <c r="B63" s="9"/>
    </row>
    <row r="64" spans="2:2">
      <c r="B64" s="9"/>
    </row>
  </sheetData>
  <mergeCells count="21">
    <mergeCell ref="D24:G24"/>
    <mergeCell ref="D26:E26"/>
    <mergeCell ref="F26:G26"/>
    <mergeCell ref="A28:A33"/>
    <mergeCell ref="B28:B33"/>
    <mergeCell ref="B34:C37"/>
    <mergeCell ref="D37:E37"/>
    <mergeCell ref="F37:G37"/>
    <mergeCell ref="A2:C2"/>
    <mergeCell ref="A6:A8"/>
    <mergeCell ref="B6:B8"/>
    <mergeCell ref="D15:D19"/>
    <mergeCell ref="F15:F19"/>
    <mergeCell ref="D6:D8"/>
    <mergeCell ref="F6:F8"/>
    <mergeCell ref="B15:B19"/>
    <mergeCell ref="A9:A14"/>
    <mergeCell ref="B9:B14"/>
    <mergeCell ref="A24:A27"/>
    <mergeCell ref="B24:B27"/>
    <mergeCell ref="C24:C27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0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H64"/>
  <sheetViews>
    <sheetView view="pageBreakPreview" zoomScaleNormal="100" zoomScaleSheetLayoutView="100" workbookViewId="0">
      <selection activeCell="B53" sqref="B53:E61"/>
    </sheetView>
  </sheetViews>
  <sheetFormatPr defaultColWidth="8.875" defaultRowHeight="13.5"/>
  <cols>
    <col min="1" max="1" width="18.5" style="3" customWidth="1"/>
    <col min="2" max="7" width="12.875" style="3" customWidth="1"/>
    <col min="8" max="8" width="13.5" style="3" customWidth="1"/>
    <col min="9" max="16384" width="8.875" style="3"/>
  </cols>
  <sheetData>
    <row r="1" spans="1:7">
      <c r="A1" s="9"/>
      <c r="B1" s="9"/>
      <c r="C1" s="9"/>
      <c r="D1" s="9"/>
      <c r="E1" s="9"/>
      <c r="F1" s="9"/>
      <c r="G1" s="9"/>
    </row>
    <row r="2" spans="1:7">
      <c r="A2" s="111" t="s">
        <v>29</v>
      </c>
      <c r="B2" s="111"/>
      <c r="C2" s="111"/>
      <c r="D2" s="111"/>
      <c r="E2" s="111"/>
      <c r="F2" s="111"/>
      <c r="G2" s="9"/>
    </row>
    <row r="3" spans="1:7">
      <c r="A3" s="11"/>
      <c r="B3" s="11"/>
      <c r="C3" s="11"/>
      <c r="D3" s="11"/>
      <c r="E3" s="11"/>
      <c r="F3" s="11"/>
      <c r="G3" s="9"/>
    </row>
    <row r="4" spans="1:7" s="9" customFormat="1">
      <c r="A4" s="9" t="s">
        <v>85</v>
      </c>
      <c r="B4" s="11"/>
      <c r="C4" s="11"/>
      <c r="D4" s="11"/>
      <c r="E4" s="11"/>
      <c r="F4" s="11"/>
    </row>
    <row r="5" spans="1:7">
      <c r="A5" s="92" t="s">
        <v>176</v>
      </c>
      <c r="B5" s="93"/>
      <c r="C5" s="93"/>
      <c r="D5" s="93"/>
      <c r="E5" s="93"/>
      <c r="F5" s="93"/>
      <c r="G5" s="9"/>
    </row>
    <row r="6" spans="1:7" s="1" customFormat="1" ht="13.9" customHeight="1">
      <c r="A6" s="129" t="s">
        <v>25</v>
      </c>
      <c r="B6" s="129" t="s">
        <v>10</v>
      </c>
      <c r="C6" s="129" t="s">
        <v>177</v>
      </c>
      <c r="D6" s="32" t="s">
        <v>3</v>
      </c>
      <c r="E6" s="115" t="s">
        <v>35</v>
      </c>
      <c r="F6" s="32" t="s">
        <v>1</v>
      </c>
      <c r="G6" s="115" t="s">
        <v>35</v>
      </c>
    </row>
    <row r="7" spans="1:7" s="1" customFormat="1">
      <c r="A7" s="130"/>
      <c r="B7" s="130"/>
      <c r="C7" s="130"/>
      <c r="D7" s="67">
        <v>0.6</v>
      </c>
      <c r="E7" s="115"/>
      <c r="F7" s="67">
        <v>75</v>
      </c>
      <c r="G7" s="115"/>
    </row>
    <row r="8" spans="1:7" s="1" customFormat="1">
      <c r="A8" s="131"/>
      <c r="B8" s="131"/>
      <c r="C8" s="131"/>
      <c r="D8" s="33" t="s">
        <v>6</v>
      </c>
      <c r="E8" s="115"/>
      <c r="F8" s="33" t="s">
        <v>6</v>
      </c>
      <c r="G8" s="115"/>
    </row>
    <row r="9" spans="1:7" s="1" customFormat="1">
      <c r="A9" s="125">
        <v>45534</v>
      </c>
      <c r="B9" s="129">
        <v>3</v>
      </c>
      <c r="C9" s="129" t="s">
        <v>178</v>
      </c>
      <c r="D9" s="83">
        <v>0.6</v>
      </c>
      <c r="E9" s="8">
        <f t="shared" ref="E9:E14" si="0">ROUND((D9-D$7)/D$7*100,1)</f>
        <v>0</v>
      </c>
      <c r="F9" s="83">
        <v>82.361000000000004</v>
      </c>
      <c r="G9" s="8">
        <f t="shared" ref="G9:G14" si="1">ROUND((F9-F$7)/F$7*100,1)</f>
        <v>9.8000000000000007</v>
      </c>
    </row>
    <row r="10" spans="1:7" s="1" customFormat="1">
      <c r="A10" s="125"/>
      <c r="B10" s="130"/>
      <c r="C10" s="130"/>
      <c r="D10" s="83">
        <v>0.59599999999999997</v>
      </c>
      <c r="E10" s="8">
        <f t="shared" si="0"/>
        <v>-0.7</v>
      </c>
      <c r="F10" s="83">
        <v>87.05</v>
      </c>
      <c r="G10" s="8">
        <f t="shared" si="1"/>
        <v>16.100000000000001</v>
      </c>
    </row>
    <row r="11" spans="1:7" s="1" customFormat="1">
      <c r="A11" s="125"/>
      <c r="B11" s="130"/>
      <c r="C11" s="130"/>
      <c r="D11" s="83">
        <v>0.58199999999999996</v>
      </c>
      <c r="E11" s="8">
        <f t="shared" si="0"/>
        <v>-3</v>
      </c>
      <c r="F11" s="83">
        <v>80.694999999999993</v>
      </c>
      <c r="G11" s="8">
        <f t="shared" si="1"/>
        <v>7.6</v>
      </c>
    </row>
    <row r="12" spans="1:7" s="1" customFormat="1">
      <c r="A12" s="125"/>
      <c r="B12" s="130"/>
      <c r="C12" s="130"/>
      <c r="D12" s="83">
        <v>0.59399999999999997</v>
      </c>
      <c r="E12" s="8">
        <f t="shared" si="0"/>
        <v>-1</v>
      </c>
      <c r="F12" s="83">
        <v>84.525999999999996</v>
      </c>
      <c r="G12" s="8">
        <f t="shared" si="1"/>
        <v>12.7</v>
      </c>
    </row>
    <row r="13" spans="1:7" s="1" customFormat="1">
      <c r="A13" s="125"/>
      <c r="B13" s="130"/>
      <c r="C13" s="130"/>
      <c r="D13" s="83">
        <v>0.56799999999999995</v>
      </c>
      <c r="E13" s="8">
        <f t="shared" si="0"/>
        <v>-5.3</v>
      </c>
      <c r="F13" s="83">
        <v>82.337000000000003</v>
      </c>
      <c r="G13" s="8">
        <f t="shared" si="1"/>
        <v>9.8000000000000007</v>
      </c>
    </row>
    <row r="14" spans="1:7" s="1" customFormat="1">
      <c r="A14" s="125"/>
      <c r="B14" s="131"/>
      <c r="C14" s="131"/>
      <c r="D14" s="83">
        <v>0.57799999999999996</v>
      </c>
      <c r="E14" s="8">
        <f t="shared" si="0"/>
        <v>-3.7</v>
      </c>
      <c r="F14" s="83">
        <v>82.546999999999997</v>
      </c>
      <c r="G14" s="8">
        <f t="shared" si="1"/>
        <v>10.1</v>
      </c>
    </row>
    <row r="15" spans="1:7" s="1" customFormat="1">
      <c r="A15" s="32" t="s">
        <v>17</v>
      </c>
      <c r="B15" s="133"/>
      <c r="C15" s="133"/>
      <c r="D15" s="7">
        <f>ROUND(AVERAGE(D9:D14),3)</f>
        <v>0.58599999999999997</v>
      </c>
      <c r="E15" s="133"/>
      <c r="F15" s="7">
        <f>ROUND(AVERAGE(F9:F14),3)</f>
        <v>83.253</v>
      </c>
      <c r="G15" s="133"/>
    </row>
    <row r="16" spans="1:7" s="1" customFormat="1">
      <c r="A16" s="32" t="s">
        <v>4</v>
      </c>
      <c r="B16" s="134"/>
      <c r="C16" s="134"/>
      <c r="D16" s="7">
        <f>ROUND(STDEV(D9:D14),3)</f>
        <v>1.2E-2</v>
      </c>
      <c r="E16" s="134"/>
      <c r="F16" s="7">
        <f>ROUND(STDEV(F9:F14),3)</f>
        <v>2.2229999999999999</v>
      </c>
      <c r="G16" s="134"/>
    </row>
    <row r="17" spans="1:8" s="1" customFormat="1">
      <c r="A17" s="32" t="s">
        <v>41</v>
      </c>
      <c r="B17" s="134"/>
      <c r="C17" s="134"/>
      <c r="D17" s="8">
        <f>ROUND(D16/D15*100,1)</f>
        <v>2</v>
      </c>
      <c r="E17" s="134"/>
      <c r="F17" s="8">
        <f>ROUND(F16/F15*100,1)</f>
        <v>2.7</v>
      </c>
      <c r="G17" s="134"/>
    </row>
    <row r="18" spans="1:8" s="1" customFormat="1">
      <c r="A18" s="32" t="s">
        <v>42</v>
      </c>
      <c r="B18" s="134"/>
      <c r="C18" s="134"/>
      <c r="D18" s="8">
        <f>ROUND(D15/D$7*100,1)</f>
        <v>97.7</v>
      </c>
      <c r="E18" s="134"/>
      <c r="F18" s="8">
        <f>ROUND(F15/F$7*100,1)</f>
        <v>111</v>
      </c>
      <c r="G18" s="134"/>
    </row>
    <row r="19" spans="1:8" s="1" customFormat="1">
      <c r="A19" s="32" t="s">
        <v>5</v>
      </c>
      <c r="B19" s="135"/>
      <c r="C19" s="135"/>
      <c r="D19" s="32">
        <v>6</v>
      </c>
      <c r="E19" s="135"/>
      <c r="F19" s="32">
        <v>6</v>
      </c>
      <c r="G19" s="135"/>
    </row>
    <row r="20" spans="1:8" ht="15">
      <c r="A20" s="15"/>
      <c r="B20" s="15"/>
      <c r="C20" s="15"/>
      <c r="D20" s="15"/>
      <c r="E20" s="15"/>
      <c r="F20" s="14"/>
      <c r="G20" s="9"/>
    </row>
    <row r="21" spans="1:8">
      <c r="A21" s="180"/>
      <c r="B21" s="180"/>
      <c r="C21" s="180"/>
      <c r="D21" s="180"/>
      <c r="E21" s="9"/>
      <c r="F21" s="9"/>
      <c r="G21" s="9"/>
    </row>
    <row r="22" spans="1:8" s="9" customFormat="1">
      <c r="A22" s="9" t="s">
        <v>169</v>
      </c>
      <c r="B22" s="11"/>
      <c r="C22" s="11"/>
      <c r="D22" s="11"/>
      <c r="E22" s="11"/>
      <c r="F22" s="11"/>
    </row>
    <row r="23" spans="1:8">
      <c r="A23" s="92" t="s">
        <v>176</v>
      </c>
      <c r="B23" s="24"/>
      <c r="C23" s="24"/>
      <c r="D23" s="24"/>
      <c r="E23" s="24"/>
      <c r="F23" s="24"/>
    </row>
    <row r="24" spans="1:8" s="1" customFormat="1" ht="13.9" customHeight="1">
      <c r="A24" s="171" t="s">
        <v>22</v>
      </c>
      <c r="B24" s="129" t="s">
        <v>10</v>
      </c>
      <c r="C24" s="129" t="s">
        <v>177</v>
      </c>
      <c r="D24" s="129" t="s">
        <v>18</v>
      </c>
      <c r="E24" s="112" t="s">
        <v>170</v>
      </c>
      <c r="F24" s="112"/>
      <c r="G24" s="112"/>
      <c r="H24" s="112"/>
    </row>
    <row r="25" spans="1:8" s="1" customFormat="1" ht="27">
      <c r="A25" s="172"/>
      <c r="B25" s="130"/>
      <c r="C25" s="130"/>
      <c r="D25" s="130"/>
      <c r="E25" s="31" t="s">
        <v>167</v>
      </c>
      <c r="F25" s="7" t="s">
        <v>171</v>
      </c>
      <c r="G25" s="31" t="s">
        <v>168</v>
      </c>
      <c r="H25" s="7" t="s">
        <v>172</v>
      </c>
    </row>
    <row r="26" spans="1:8" s="1" customFormat="1">
      <c r="A26" s="172"/>
      <c r="B26" s="130"/>
      <c r="C26" s="130"/>
      <c r="D26" s="130"/>
      <c r="E26" s="174" t="s">
        <v>173</v>
      </c>
      <c r="F26" s="175"/>
      <c r="G26" s="176" t="s">
        <v>173</v>
      </c>
      <c r="H26" s="115"/>
    </row>
    <row r="27" spans="1:8" s="1" customFormat="1" ht="13.9" customHeight="1">
      <c r="A27" s="173"/>
      <c r="B27" s="131"/>
      <c r="C27" s="131"/>
      <c r="D27" s="131"/>
      <c r="E27" s="32" t="s">
        <v>20</v>
      </c>
      <c r="F27" s="32" t="s">
        <v>19</v>
      </c>
      <c r="G27" s="32" t="s">
        <v>20</v>
      </c>
      <c r="H27" s="32" t="s">
        <v>19</v>
      </c>
    </row>
    <row r="28" spans="1:8" s="1" customFormat="1">
      <c r="A28" s="177" t="s">
        <v>174</v>
      </c>
      <c r="B28" s="179" t="s">
        <v>175</v>
      </c>
      <c r="C28" s="129" t="s">
        <v>178</v>
      </c>
      <c r="D28" s="32">
        <v>1</v>
      </c>
      <c r="E28" s="86">
        <v>4.7350000000000003</v>
      </c>
      <c r="F28" s="87">
        <v>4.1180000000000003</v>
      </c>
      <c r="G28" s="87">
        <v>70.180999999999997</v>
      </c>
      <c r="H28" s="87">
        <v>75.796000000000006</v>
      </c>
    </row>
    <row r="29" spans="1:8" s="1" customFormat="1">
      <c r="A29" s="178"/>
      <c r="B29" s="130"/>
      <c r="C29" s="130"/>
      <c r="D29" s="32">
        <v>2</v>
      </c>
      <c r="E29" s="86">
        <v>4.641</v>
      </c>
      <c r="F29" s="87">
        <v>4.4089999999999998</v>
      </c>
      <c r="G29" s="87">
        <v>73.897999999999996</v>
      </c>
      <c r="H29" s="87">
        <v>76.049000000000007</v>
      </c>
    </row>
    <row r="30" spans="1:8" s="1" customFormat="1">
      <c r="A30" s="178"/>
      <c r="B30" s="130"/>
      <c r="C30" s="130"/>
      <c r="D30" s="32">
        <v>3</v>
      </c>
      <c r="E30" s="86">
        <v>4.5990000000000002</v>
      </c>
      <c r="F30" s="87">
        <v>4.4240000000000004</v>
      </c>
      <c r="G30" s="87">
        <v>77.582999999999998</v>
      </c>
      <c r="H30" s="87">
        <v>76.188999999999993</v>
      </c>
    </row>
    <row r="31" spans="1:8" s="1" customFormat="1">
      <c r="A31" s="178"/>
      <c r="B31" s="130"/>
      <c r="C31" s="130"/>
      <c r="D31" s="32">
        <v>4</v>
      </c>
      <c r="E31" s="86">
        <v>4.79</v>
      </c>
      <c r="F31" s="87">
        <v>4.0960000000000001</v>
      </c>
      <c r="G31" s="87">
        <v>79.918000000000006</v>
      </c>
      <c r="H31" s="87">
        <v>74.944000000000003</v>
      </c>
    </row>
    <row r="32" spans="1:8" s="1" customFormat="1">
      <c r="A32" s="178"/>
      <c r="B32" s="130"/>
      <c r="C32" s="130"/>
      <c r="D32" s="32">
        <v>5</v>
      </c>
      <c r="E32" s="86">
        <v>4.556</v>
      </c>
      <c r="F32" s="87">
        <v>4.5910000000000002</v>
      </c>
      <c r="G32" s="87">
        <v>84.460999999999999</v>
      </c>
      <c r="H32" s="87">
        <v>73.242999999999995</v>
      </c>
    </row>
    <row r="33" spans="1:8" s="1" customFormat="1">
      <c r="A33" s="178"/>
      <c r="B33" s="130"/>
      <c r="C33" s="131"/>
      <c r="D33" s="34">
        <v>6</v>
      </c>
      <c r="E33" s="86">
        <v>4.431</v>
      </c>
      <c r="F33" s="87">
        <v>4.2519999999999998</v>
      </c>
      <c r="G33" s="87">
        <v>78.911000000000001</v>
      </c>
      <c r="H33" s="87">
        <v>78.757999999999996</v>
      </c>
    </row>
    <row r="34" spans="1:8" s="1" customFormat="1">
      <c r="A34" s="32" t="s">
        <v>17</v>
      </c>
      <c r="B34" s="164"/>
      <c r="C34" s="182"/>
      <c r="D34" s="165"/>
      <c r="E34" s="7">
        <f>ROUND(AVERAGE(E28:E33),3)</f>
        <v>4.625</v>
      </c>
      <c r="F34" s="7">
        <f t="shared" ref="F34:H34" si="2">ROUND(AVERAGE(F28:F33),3)</f>
        <v>4.3150000000000004</v>
      </c>
      <c r="G34" s="7">
        <f t="shared" si="2"/>
        <v>77.492000000000004</v>
      </c>
      <c r="H34" s="7">
        <f t="shared" si="2"/>
        <v>75.83</v>
      </c>
    </row>
    <row r="35" spans="1:8" s="1" customFormat="1">
      <c r="A35" s="32" t="s">
        <v>4</v>
      </c>
      <c r="B35" s="166"/>
      <c r="C35" s="183"/>
      <c r="D35" s="167"/>
      <c r="E35" s="7">
        <f>ROUND(STDEV(E28:E33),3)</f>
        <v>0.129</v>
      </c>
      <c r="F35" s="7">
        <f t="shared" ref="F35:H35" si="3">ROUND(STDEV(F28:F33),3)</f>
        <v>0.19400000000000001</v>
      </c>
      <c r="G35" s="7">
        <f t="shared" si="3"/>
        <v>4.9569999999999999</v>
      </c>
      <c r="H35" s="7">
        <f t="shared" si="3"/>
        <v>1.802</v>
      </c>
    </row>
    <row r="36" spans="1:8" s="1" customFormat="1">
      <c r="A36" s="32" t="s">
        <v>41</v>
      </c>
      <c r="B36" s="166"/>
      <c r="C36" s="183"/>
      <c r="D36" s="167"/>
      <c r="E36" s="23">
        <f>ROUND(E35/E34*100,1)</f>
        <v>2.8</v>
      </c>
      <c r="F36" s="23">
        <f>ROUND(F35/F34*100,1)</f>
        <v>4.5</v>
      </c>
      <c r="G36" s="23">
        <f>ROUND(G35/G34*100,1)</f>
        <v>6.4</v>
      </c>
      <c r="H36" s="23">
        <f>ROUND(H35/H34*100,1)</f>
        <v>2.4</v>
      </c>
    </row>
    <row r="37" spans="1:8" s="1" customFormat="1">
      <c r="A37" s="32" t="s">
        <v>43</v>
      </c>
      <c r="B37" s="168"/>
      <c r="C37" s="184"/>
      <c r="D37" s="169"/>
      <c r="E37" s="181">
        <f>ROUND((E34-F34)/F34*100,1)</f>
        <v>7.2</v>
      </c>
      <c r="F37" s="181"/>
      <c r="G37" s="170">
        <f>ROUND((G34-H34)/H34*100,1)</f>
        <v>2.2000000000000002</v>
      </c>
      <c r="H37" s="170"/>
    </row>
    <row r="38" spans="1:8" ht="15">
      <c r="A38" s="20"/>
      <c r="B38" s="20"/>
      <c r="C38" s="20"/>
      <c r="D38" s="20"/>
      <c r="E38" s="20"/>
      <c r="F38" s="2"/>
    </row>
    <row r="63" spans="2:2">
      <c r="B63" s="9"/>
    </row>
    <row r="64" spans="2:2">
      <c r="B64" s="9"/>
    </row>
  </sheetData>
  <mergeCells count="27">
    <mergeCell ref="C28:C33"/>
    <mergeCell ref="A28:A33"/>
    <mergeCell ref="B28:B33"/>
    <mergeCell ref="E37:F37"/>
    <mergeCell ref="G37:H37"/>
    <mergeCell ref="B34:D37"/>
    <mergeCell ref="A24:A27"/>
    <mergeCell ref="B24:B27"/>
    <mergeCell ref="D24:D27"/>
    <mergeCell ref="E24:H24"/>
    <mergeCell ref="E26:F26"/>
    <mergeCell ref="G26:H26"/>
    <mergeCell ref="C24:C27"/>
    <mergeCell ref="A2:F2"/>
    <mergeCell ref="A6:A8"/>
    <mergeCell ref="B6:B8"/>
    <mergeCell ref="E6:E8"/>
    <mergeCell ref="A21:D21"/>
    <mergeCell ref="G6:G8"/>
    <mergeCell ref="C6:C8"/>
    <mergeCell ref="G15:G19"/>
    <mergeCell ref="A9:A14"/>
    <mergeCell ref="C9:C14"/>
    <mergeCell ref="B15:B19"/>
    <mergeCell ref="C15:C19"/>
    <mergeCell ref="E15:E19"/>
    <mergeCell ref="B9:B14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8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2:U39"/>
  <sheetViews>
    <sheetView view="pageBreakPreview" zoomScaleNormal="100" zoomScaleSheetLayoutView="100" workbookViewId="0">
      <selection activeCell="K36" sqref="K36"/>
    </sheetView>
  </sheetViews>
  <sheetFormatPr defaultColWidth="8.875" defaultRowHeight="13.5"/>
  <cols>
    <col min="1" max="1" width="16.75" style="9" customWidth="1"/>
    <col min="2" max="2" width="14.125" style="9" customWidth="1"/>
    <col min="3" max="3" width="17.5" style="9" customWidth="1"/>
    <col min="4" max="6" width="14.125" style="9" customWidth="1"/>
    <col min="7" max="8" width="14" style="9" customWidth="1"/>
    <col min="9" max="9" width="8.875" style="9"/>
    <col min="10" max="10" width="16.75" style="9" customWidth="1"/>
    <col min="11" max="11" width="8.875" style="9"/>
    <col min="12" max="12" width="11.5" style="9" customWidth="1"/>
    <col min="13" max="17" width="9" style="9" bestFit="1" customWidth="1"/>
    <col min="18" max="20" width="8.875" style="9"/>
    <col min="21" max="21" width="16.25" style="9" bestFit="1" customWidth="1"/>
    <col min="22" max="16384" width="8.875" style="9"/>
  </cols>
  <sheetData>
    <row r="2" spans="1:21">
      <c r="A2" s="9" t="s">
        <v>28</v>
      </c>
    </row>
    <row r="4" spans="1:21">
      <c r="A4" s="9" t="s">
        <v>185</v>
      </c>
      <c r="L4" s="9" t="s">
        <v>180</v>
      </c>
    </row>
    <row r="5" spans="1:21">
      <c r="A5" s="52" t="s">
        <v>189</v>
      </c>
      <c r="B5" s="11"/>
      <c r="C5" s="11"/>
      <c r="D5" s="11"/>
      <c r="E5" s="11"/>
      <c r="I5" s="5" t="s">
        <v>50</v>
      </c>
      <c r="J5" s="84">
        <v>45536.790277777778</v>
      </c>
      <c r="L5" s="52" t="s">
        <v>179</v>
      </c>
      <c r="M5" s="11"/>
      <c r="N5" s="11"/>
      <c r="O5" s="11"/>
      <c r="P5" s="11"/>
      <c r="T5" s="5" t="s">
        <v>50</v>
      </c>
      <c r="U5" s="84">
        <v>45531.78125</v>
      </c>
    </row>
    <row r="6" spans="1:21" ht="15.75" customHeight="1">
      <c r="A6" s="129" t="s">
        <v>25</v>
      </c>
      <c r="B6" s="129" t="s">
        <v>10</v>
      </c>
      <c r="C6" s="32" t="s">
        <v>7</v>
      </c>
      <c r="D6" s="115" t="s">
        <v>35</v>
      </c>
      <c r="E6" s="43" t="s">
        <v>1</v>
      </c>
      <c r="F6" s="115" t="s">
        <v>35</v>
      </c>
      <c r="I6" s="5" t="s">
        <v>51</v>
      </c>
      <c r="J6" s="84">
        <v>45539.983182870368</v>
      </c>
      <c r="L6" s="129" t="s">
        <v>25</v>
      </c>
      <c r="M6" s="129" t="s">
        <v>10</v>
      </c>
      <c r="N6" s="32" t="s">
        <v>7</v>
      </c>
      <c r="O6" s="115" t="s">
        <v>35</v>
      </c>
      <c r="P6" s="43" t="s">
        <v>1</v>
      </c>
      <c r="Q6" s="115" t="s">
        <v>35</v>
      </c>
      <c r="T6" s="5" t="s">
        <v>51</v>
      </c>
      <c r="U6" s="84">
        <v>45535.150601851848</v>
      </c>
    </row>
    <row r="7" spans="1:21" ht="15.75" customHeight="1">
      <c r="A7" s="130"/>
      <c r="B7" s="130"/>
      <c r="C7" s="67">
        <v>0.6</v>
      </c>
      <c r="D7" s="115"/>
      <c r="E7" s="67">
        <v>75</v>
      </c>
      <c r="F7" s="115"/>
      <c r="I7" s="5" t="s">
        <v>26</v>
      </c>
      <c r="J7" s="85">
        <f>(J6-J5)*24</f>
        <v>76.629722222161945</v>
      </c>
      <c r="L7" s="130"/>
      <c r="M7" s="130"/>
      <c r="N7" s="67">
        <v>0.6</v>
      </c>
      <c r="O7" s="115"/>
      <c r="P7" s="67">
        <v>75</v>
      </c>
      <c r="Q7" s="115"/>
      <c r="T7" s="5" t="s">
        <v>26</v>
      </c>
      <c r="U7" s="85">
        <f>(U6-U5)*24</f>
        <v>80.864444444363471</v>
      </c>
    </row>
    <row r="8" spans="1:21" ht="15.75" customHeight="1">
      <c r="A8" s="131"/>
      <c r="B8" s="131"/>
      <c r="C8" s="33" t="s">
        <v>6</v>
      </c>
      <c r="D8" s="115"/>
      <c r="E8" s="33" t="s">
        <v>6</v>
      </c>
      <c r="F8" s="115"/>
      <c r="L8" s="131"/>
      <c r="M8" s="131"/>
      <c r="N8" s="33" t="s">
        <v>6</v>
      </c>
      <c r="O8" s="115"/>
      <c r="P8" s="33" t="s">
        <v>6</v>
      </c>
      <c r="Q8" s="115"/>
    </row>
    <row r="9" spans="1:21" ht="15.75" customHeight="1">
      <c r="A9" s="125">
        <v>45539</v>
      </c>
      <c r="B9" s="129">
        <v>7</v>
      </c>
      <c r="C9" s="7">
        <v>0.52800000000000002</v>
      </c>
      <c r="D9" s="8">
        <f t="shared" ref="D9:D14" si="0">ROUND((C9-C$7)/C$7*100,1)</f>
        <v>-12</v>
      </c>
      <c r="E9" s="7">
        <v>79.117999999999995</v>
      </c>
      <c r="F9" s="8">
        <f t="shared" ref="F9:F14" si="1">ROUND((E9-E$7)/E$7*100,1)</f>
        <v>5.5</v>
      </c>
      <c r="J9" s="94"/>
      <c r="L9" s="125">
        <v>45534</v>
      </c>
      <c r="M9" s="129">
        <v>3</v>
      </c>
      <c r="N9" s="7">
        <v>0.53900000000000003</v>
      </c>
      <c r="O9" s="8">
        <f t="shared" ref="O9:O14" si="2">ROUND((N9-N$7)/N$7*100,1)</f>
        <v>-10.199999999999999</v>
      </c>
      <c r="P9" s="7">
        <v>95.415999999999997</v>
      </c>
      <c r="Q9" s="8">
        <f t="shared" ref="Q9:Q14" si="3">ROUND((P9-P$7)/P$7*100,1)</f>
        <v>27.2</v>
      </c>
      <c r="U9" s="94"/>
    </row>
    <row r="10" spans="1:21" ht="15.75" customHeight="1">
      <c r="A10" s="125"/>
      <c r="B10" s="130"/>
      <c r="C10" s="7">
        <v>0.53300000000000003</v>
      </c>
      <c r="D10" s="8">
        <f t="shared" si="0"/>
        <v>-11.2</v>
      </c>
      <c r="E10" s="7">
        <v>80.429000000000002</v>
      </c>
      <c r="F10" s="8">
        <f t="shared" si="1"/>
        <v>7.2</v>
      </c>
      <c r="L10" s="125"/>
      <c r="M10" s="130"/>
      <c r="N10" s="7">
        <v>0.56100000000000005</v>
      </c>
      <c r="O10" s="8">
        <f t="shared" si="2"/>
        <v>-6.5</v>
      </c>
      <c r="P10" s="7">
        <v>96.748999999999995</v>
      </c>
      <c r="Q10" s="8">
        <f t="shared" si="3"/>
        <v>29</v>
      </c>
    </row>
    <row r="11" spans="1:21" ht="15.75" customHeight="1">
      <c r="A11" s="125"/>
      <c r="B11" s="130"/>
      <c r="C11" s="7">
        <v>0.54900000000000004</v>
      </c>
      <c r="D11" s="8">
        <f t="shared" si="0"/>
        <v>-8.5</v>
      </c>
      <c r="E11" s="7">
        <v>80.39</v>
      </c>
      <c r="F11" s="8">
        <f t="shared" si="1"/>
        <v>7.2</v>
      </c>
      <c r="L11" s="125"/>
      <c r="M11" s="130"/>
      <c r="N11" s="7">
        <v>0.57199999999999995</v>
      </c>
      <c r="O11" s="8">
        <f t="shared" si="2"/>
        <v>-4.7</v>
      </c>
      <c r="P11" s="7">
        <v>91.518000000000001</v>
      </c>
      <c r="Q11" s="8">
        <f t="shared" si="3"/>
        <v>22</v>
      </c>
    </row>
    <row r="12" spans="1:21" ht="15.75" customHeight="1">
      <c r="A12" s="125"/>
      <c r="B12" s="130"/>
      <c r="C12" s="7">
        <v>0.51900000000000002</v>
      </c>
      <c r="D12" s="8">
        <f t="shared" si="0"/>
        <v>-13.5</v>
      </c>
      <c r="E12" s="7">
        <v>80.587999999999994</v>
      </c>
      <c r="F12" s="8">
        <f t="shared" si="1"/>
        <v>7.5</v>
      </c>
      <c r="L12" s="125"/>
      <c r="M12" s="130"/>
      <c r="N12" s="7">
        <v>0.55400000000000005</v>
      </c>
      <c r="O12" s="8">
        <f t="shared" si="2"/>
        <v>-7.7</v>
      </c>
      <c r="P12" s="7">
        <v>96.593000000000004</v>
      </c>
      <c r="Q12" s="8">
        <f t="shared" si="3"/>
        <v>28.8</v>
      </c>
    </row>
    <row r="13" spans="1:21" ht="15.75" customHeight="1">
      <c r="A13" s="125"/>
      <c r="B13" s="130"/>
      <c r="C13" s="7">
        <v>0.53800000000000003</v>
      </c>
      <c r="D13" s="8">
        <f t="shared" si="0"/>
        <v>-10.3</v>
      </c>
      <c r="E13" s="7">
        <v>79.209999999999994</v>
      </c>
      <c r="F13" s="8">
        <f t="shared" si="1"/>
        <v>5.6</v>
      </c>
      <c r="L13" s="125"/>
      <c r="M13" s="130"/>
      <c r="N13" s="7">
        <v>0.56100000000000005</v>
      </c>
      <c r="O13" s="8">
        <f t="shared" si="2"/>
        <v>-6.5</v>
      </c>
      <c r="P13" s="7">
        <v>83.606999999999999</v>
      </c>
      <c r="Q13" s="8">
        <f t="shared" si="3"/>
        <v>11.5</v>
      </c>
    </row>
    <row r="14" spans="1:21" ht="15.75" customHeight="1">
      <c r="A14" s="125"/>
      <c r="B14" s="131"/>
      <c r="C14" s="7">
        <v>0.53400000000000003</v>
      </c>
      <c r="D14" s="8">
        <f t="shared" si="0"/>
        <v>-11</v>
      </c>
      <c r="E14" s="7">
        <v>82.225999999999999</v>
      </c>
      <c r="F14" s="8">
        <f t="shared" si="1"/>
        <v>9.6</v>
      </c>
      <c r="L14" s="125"/>
      <c r="M14" s="131"/>
      <c r="N14" s="7">
        <v>0.57199999999999995</v>
      </c>
      <c r="O14" s="8">
        <f t="shared" si="2"/>
        <v>-4.7</v>
      </c>
      <c r="P14" s="7">
        <v>89.727999999999994</v>
      </c>
      <c r="Q14" s="8">
        <f t="shared" si="3"/>
        <v>19.600000000000001</v>
      </c>
    </row>
    <row r="15" spans="1:21" ht="15.75" customHeight="1">
      <c r="A15" s="32" t="s">
        <v>17</v>
      </c>
      <c r="B15" s="133"/>
      <c r="C15" s="7">
        <f>ROUND(AVERAGE(C9:C14),3)</f>
        <v>0.53400000000000003</v>
      </c>
      <c r="D15" s="133"/>
      <c r="E15" s="7">
        <f>ROUND(AVERAGE(E9:E14),3)</f>
        <v>80.326999999999998</v>
      </c>
      <c r="F15" s="133"/>
      <c r="L15" s="32" t="s">
        <v>17</v>
      </c>
      <c r="M15" s="133"/>
      <c r="N15" s="7">
        <f>ROUND(AVERAGE(N9:N14),3)</f>
        <v>0.56000000000000005</v>
      </c>
      <c r="O15" s="133"/>
      <c r="P15" s="7">
        <f>ROUND(AVERAGE(P9:P14),3)</f>
        <v>92.269000000000005</v>
      </c>
      <c r="Q15" s="133"/>
    </row>
    <row r="16" spans="1:21" ht="15.75" customHeight="1">
      <c r="A16" s="32" t="s">
        <v>4</v>
      </c>
      <c r="B16" s="134"/>
      <c r="C16" s="7">
        <f>ROUND(STDEV(C9:C14),3)</f>
        <v>0.01</v>
      </c>
      <c r="D16" s="134"/>
      <c r="E16" s="7">
        <f>ROUND(STDEV(E9:E14),3)</f>
        <v>1.131</v>
      </c>
      <c r="F16" s="134"/>
      <c r="L16" s="32" t="s">
        <v>4</v>
      </c>
      <c r="M16" s="134"/>
      <c r="N16" s="7">
        <f>ROUND(STDEV(N9:N14),3)</f>
        <v>1.2E-2</v>
      </c>
      <c r="O16" s="134"/>
      <c r="P16" s="7">
        <f>ROUND(STDEV(P9:P14),3)</f>
        <v>5.1130000000000004</v>
      </c>
      <c r="Q16" s="134"/>
    </row>
    <row r="17" spans="1:17" ht="15.75" customHeight="1">
      <c r="A17" s="32" t="s">
        <v>41</v>
      </c>
      <c r="B17" s="134"/>
      <c r="C17" s="8">
        <f>ROUND(C16/C15*100,1)</f>
        <v>1.9</v>
      </c>
      <c r="D17" s="134"/>
      <c r="E17" s="8">
        <f>ROUND(E16/E15*100,1)</f>
        <v>1.4</v>
      </c>
      <c r="F17" s="134"/>
      <c r="L17" s="32" t="s">
        <v>41</v>
      </c>
      <c r="M17" s="134"/>
      <c r="N17" s="8">
        <f>ROUND(N16/N15*100,1)</f>
        <v>2.1</v>
      </c>
      <c r="O17" s="134"/>
      <c r="P17" s="8">
        <f>ROUND(P16/P15*100,1)</f>
        <v>5.5</v>
      </c>
      <c r="Q17" s="134"/>
    </row>
    <row r="18" spans="1:17" ht="15.75" customHeight="1">
      <c r="A18" s="32" t="s">
        <v>42</v>
      </c>
      <c r="B18" s="134"/>
      <c r="C18" s="8">
        <f>ROUND(C15/C$7*100,1)</f>
        <v>89</v>
      </c>
      <c r="D18" s="134"/>
      <c r="E18" s="8">
        <f>ROUND(E15/E$7*100,1)</f>
        <v>107.1</v>
      </c>
      <c r="F18" s="134"/>
      <c r="L18" s="32" t="s">
        <v>42</v>
      </c>
      <c r="M18" s="134"/>
      <c r="N18" s="8">
        <f>ROUND(N15/N$7*100,1)</f>
        <v>93.3</v>
      </c>
      <c r="O18" s="134"/>
      <c r="P18" s="8">
        <f>ROUND(P15/P$7*100,1)</f>
        <v>123</v>
      </c>
      <c r="Q18" s="134"/>
    </row>
    <row r="19" spans="1:17" ht="15.75" customHeight="1">
      <c r="A19" s="32" t="s">
        <v>5</v>
      </c>
      <c r="B19" s="135"/>
      <c r="C19" s="32">
        <v>6</v>
      </c>
      <c r="D19" s="135"/>
      <c r="E19" s="32">
        <v>6</v>
      </c>
      <c r="F19" s="135"/>
      <c r="L19" s="32" t="s">
        <v>5</v>
      </c>
      <c r="M19" s="135"/>
      <c r="N19" s="32">
        <v>6</v>
      </c>
      <c r="O19" s="135"/>
      <c r="P19" s="32">
        <v>6</v>
      </c>
      <c r="Q19" s="135"/>
    </row>
    <row r="20" spans="1:17" ht="15.75" customHeight="1">
      <c r="A20" s="16"/>
      <c r="D20" s="16"/>
      <c r="E20" s="16"/>
      <c r="F20" s="16"/>
      <c r="I20" s="25"/>
      <c r="J20" s="95"/>
    </row>
    <row r="21" spans="1:17">
      <c r="A21" s="185"/>
      <c r="B21" s="185"/>
      <c r="C21" s="185"/>
      <c r="D21" s="185"/>
      <c r="E21" s="15"/>
      <c r="I21" s="26"/>
      <c r="J21" s="96"/>
    </row>
    <row r="22" spans="1:17">
      <c r="A22" s="9" t="s">
        <v>169</v>
      </c>
    </row>
    <row r="23" spans="1:17">
      <c r="A23" s="52" t="s">
        <v>188</v>
      </c>
      <c r="B23" s="11"/>
      <c r="C23" s="11"/>
      <c r="D23" s="11"/>
      <c r="E23" s="11"/>
    </row>
    <row r="24" spans="1:17" ht="15.75" customHeight="1">
      <c r="A24" s="129" t="s">
        <v>25</v>
      </c>
      <c r="B24" s="129" t="s">
        <v>10</v>
      </c>
      <c r="C24" s="129" t="s">
        <v>18</v>
      </c>
      <c r="D24" s="112" t="s">
        <v>170</v>
      </c>
      <c r="E24" s="112"/>
      <c r="F24" s="112"/>
      <c r="G24" s="112"/>
      <c r="H24" s="10"/>
      <c r="I24" s="5" t="s">
        <v>50</v>
      </c>
      <c r="J24" s="84">
        <v>45531.78125</v>
      </c>
    </row>
    <row r="25" spans="1:17" ht="27">
      <c r="A25" s="130"/>
      <c r="B25" s="130"/>
      <c r="C25" s="130"/>
      <c r="D25" s="31" t="s">
        <v>167</v>
      </c>
      <c r="E25" s="7" t="s">
        <v>171</v>
      </c>
      <c r="F25" s="31" t="s">
        <v>168</v>
      </c>
      <c r="G25" s="7" t="s">
        <v>172</v>
      </c>
      <c r="H25" s="88"/>
      <c r="I25" s="5" t="s">
        <v>51</v>
      </c>
      <c r="J25" s="84">
        <v>45535.192337962966</v>
      </c>
    </row>
    <row r="26" spans="1:17" ht="15.75" customHeight="1">
      <c r="A26" s="130"/>
      <c r="B26" s="130"/>
      <c r="C26" s="130"/>
      <c r="D26" s="174" t="s">
        <v>173</v>
      </c>
      <c r="E26" s="175"/>
      <c r="F26" s="176" t="s">
        <v>173</v>
      </c>
      <c r="G26" s="115"/>
      <c r="H26" s="16"/>
      <c r="I26" s="5" t="s">
        <v>26</v>
      </c>
      <c r="J26" s="85">
        <f>(J25-J24)*24</f>
        <v>81.86611111118691</v>
      </c>
    </row>
    <row r="27" spans="1:17" ht="15.75" customHeight="1">
      <c r="A27" s="131"/>
      <c r="B27" s="131"/>
      <c r="C27" s="131"/>
      <c r="D27" s="32" t="s">
        <v>20</v>
      </c>
      <c r="E27" s="32" t="s">
        <v>19</v>
      </c>
      <c r="F27" s="32" t="s">
        <v>20</v>
      </c>
      <c r="G27" s="32" t="s">
        <v>19</v>
      </c>
      <c r="H27" s="16"/>
    </row>
    <row r="28" spans="1:17" ht="15.75" customHeight="1">
      <c r="A28" s="177" t="s">
        <v>174</v>
      </c>
      <c r="B28" s="179" t="s">
        <v>175</v>
      </c>
      <c r="C28" s="32">
        <v>1</v>
      </c>
      <c r="D28" s="86">
        <v>4.8129999999999997</v>
      </c>
      <c r="E28" s="7">
        <v>4.1180000000000003</v>
      </c>
      <c r="F28" s="7">
        <v>88.799000000000007</v>
      </c>
      <c r="G28" s="7">
        <v>75.796000000000006</v>
      </c>
      <c r="H28" s="88"/>
    </row>
    <row r="29" spans="1:17" ht="15.75" customHeight="1">
      <c r="A29" s="178"/>
      <c r="B29" s="130"/>
      <c r="C29" s="32">
        <v>2</v>
      </c>
      <c r="D29" s="86">
        <v>4.9480000000000004</v>
      </c>
      <c r="E29" s="7">
        <v>4.4089999999999998</v>
      </c>
      <c r="F29" s="7">
        <v>88.238</v>
      </c>
      <c r="G29" s="7">
        <v>76.049000000000007</v>
      </c>
      <c r="H29" s="88"/>
    </row>
    <row r="30" spans="1:17" ht="15.75" customHeight="1">
      <c r="A30" s="178"/>
      <c r="B30" s="130"/>
      <c r="C30" s="32">
        <v>3</v>
      </c>
      <c r="D30" s="86">
        <v>4.7679999999999998</v>
      </c>
      <c r="E30" s="7">
        <v>4.4240000000000004</v>
      </c>
      <c r="F30" s="7">
        <v>90.956000000000003</v>
      </c>
      <c r="G30" s="7">
        <v>76.188999999999993</v>
      </c>
      <c r="H30" s="88"/>
    </row>
    <row r="31" spans="1:17" ht="15.75" customHeight="1">
      <c r="A31" s="178"/>
      <c r="B31" s="130"/>
      <c r="C31" s="32">
        <v>4</v>
      </c>
      <c r="D31" s="86">
        <v>4.8449999999999998</v>
      </c>
      <c r="E31" s="7">
        <v>4.0960000000000001</v>
      </c>
      <c r="F31" s="7">
        <v>84.385000000000005</v>
      </c>
      <c r="G31" s="7">
        <v>74.944000000000003</v>
      </c>
      <c r="H31" s="88"/>
    </row>
    <row r="32" spans="1:17" ht="15.75" customHeight="1">
      <c r="A32" s="178"/>
      <c r="B32" s="130"/>
      <c r="C32" s="32">
        <v>5</v>
      </c>
      <c r="D32" s="86">
        <v>4.931</v>
      </c>
      <c r="E32" s="7">
        <v>4.5910000000000002</v>
      </c>
      <c r="F32" s="7">
        <v>84.697999999999993</v>
      </c>
      <c r="G32" s="7">
        <v>73.242999999999995</v>
      </c>
      <c r="H32" s="88"/>
    </row>
    <row r="33" spans="1:8" ht="15.75" customHeight="1">
      <c r="A33" s="178"/>
      <c r="B33" s="130"/>
      <c r="C33" s="34">
        <v>6</v>
      </c>
      <c r="D33" s="86">
        <v>4.8090000000000002</v>
      </c>
      <c r="E33" s="7">
        <v>4.2519999999999998</v>
      </c>
      <c r="F33" s="7">
        <v>85.233000000000004</v>
      </c>
      <c r="G33" s="7">
        <v>78.757999999999996</v>
      </c>
      <c r="H33" s="88"/>
    </row>
    <row r="34" spans="1:8" ht="15.75" customHeight="1">
      <c r="A34" s="32" t="s">
        <v>17</v>
      </c>
      <c r="B34" s="186"/>
      <c r="C34" s="187"/>
      <c r="D34" s="7">
        <f>ROUND(AVERAGE(D28:D33),3)</f>
        <v>4.8520000000000003</v>
      </c>
      <c r="E34" s="7">
        <f t="shared" ref="E34:G34" si="4">ROUND(AVERAGE(E28:E33),3)</f>
        <v>4.3150000000000004</v>
      </c>
      <c r="F34" s="7">
        <f t="shared" si="4"/>
        <v>87.052000000000007</v>
      </c>
      <c r="G34" s="7">
        <f t="shared" si="4"/>
        <v>75.83</v>
      </c>
      <c r="H34" s="88"/>
    </row>
    <row r="35" spans="1:8" ht="15.75" customHeight="1">
      <c r="A35" s="32" t="s">
        <v>4</v>
      </c>
      <c r="B35" s="188"/>
      <c r="C35" s="189"/>
      <c r="D35" s="7">
        <f>ROUND(STDEV(D28:D33),3)</f>
        <v>7.1999999999999995E-2</v>
      </c>
      <c r="E35" s="7">
        <f t="shared" ref="E35:G35" si="5">ROUND(STDEV(E28:E33),3)</f>
        <v>0.19400000000000001</v>
      </c>
      <c r="F35" s="7">
        <f t="shared" si="5"/>
        <v>2.6709999999999998</v>
      </c>
      <c r="G35" s="7">
        <f t="shared" si="5"/>
        <v>1.802</v>
      </c>
      <c r="H35" s="88"/>
    </row>
    <row r="36" spans="1:8" ht="15.75" customHeight="1">
      <c r="A36" s="32" t="s">
        <v>41</v>
      </c>
      <c r="B36" s="188"/>
      <c r="C36" s="189"/>
      <c r="D36" s="8">
        <f>ROUND(D35/D34*100,1)</f>
        <v>1.5</v>
      </c>
      <c r="E36" s="8">
        <f>ROUND(E35/E34*100,1)</f>
        <v>4.5</v>
      </c>
      <c r="F36" s="8">
        <f>ROUND(F35/F34*100,1)</f>
        <v>3.1</v>
      </c>
      <c r="G36" s="8">
        <f>ROUND(G35/G34*100,1)</f>
        <v>2.4</v>
      </c>
      <c r="H36" s="97"/>
    </row>
    <row r="37" spans="1:8" ht="15.75" customHeight="1">
      <c r="A37" s="32" t="s">
        <v>43</v>
      </c>
      <c r="B37" s="190"/>
      <c r="C37" s="191"/>
      <c r="D37" s="192">
        <f>ROUND((D34-E34)/E34*100,1)</f>
        <v>12.4</v>
      </c>
      <c r="E37" s="192"/>
      <c r="F37" s="193">
        <f>ROUND((F34-G34)/G34*100,1)</f>
        <v>14.8</v>
      </c>
      <c r="G37" s="193"/>
      <c r="H37" s="98"/>
    </row>
    <row r="38" spans="1:8">
      <c r="A38" s="185"/>
      <c r="B38" s="185"/>
      <c r="C38" s="185"/>
      <c r="D38" s="185"/>
      <c r="E38" s="15"/>
    </row>
    <row r="39" spans="1:8">
      <c r="C39" s="99"/>
    </row>
  </sheetData>
  <mergeCells count="31">
    <mergeCell ref="F6:F8"/>
    <mergeCell ref="A9:A14"/>
    <mergeCell ref="B9:B14"/>
    <mergeCell ref="A38:D38"/>
    <mergeCell ref="A24:A27"/>
    <mergeCell ref="B24:B27"/>
    <mergeCell ref="C24:C27"/>
    <mergeCell ref="D24:G24"/>
    <mergeCell ref="D26:E26"/>
    <mergeCell ref="F26:G26"/>
    <mergeCell ref="B34:C37"/>
    <mergeCell ref="D37:E37"/>
    <mergeCell ref="F37:G37"/>
    <mergeCell ref="A28:A33"/>
    <mergeCell ref="B28:B33"/>
    <mergeCell ref="Q6:Q8"/>
    <mergeCell ref="O15:O19"/>
    <mergeCell ref="Q15:Q19"/>
    <mergeCell ref="A21:D21"/>
    <mergeCell ref="O6:O8"/>
    <mergeCell ref="M15:M19"/>
    <mergeCell ref="L9:L14"/>
    <mergeCell ref="M9:M14"/>
    <mergeCell ref="L6:L8"/>
    <mergeCell ref="M6:M8"/>
    <mergeCell ref="B15:B19"/>
    <mergeCell ref="D15:D19"/>
    <mergeCell ref="F15:F19"/>
    <mergeCell ref="A6:A8"/>
    <mergeCell ref="B6:B8"/>
    <mergeCell ref="D6:D8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34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2:H47"/>
  <sheetViews>
    <sheetView view="pageBreakPreview" zoomScaleNormal="100" zoomScaleSheetLayoutView="100" workbookViewId="0">
      <selection activeCell="B53" sqref="B53:E61"/>
    </sheetView>
  </sheetViews>
  <sheetFormatPr defaultColWidth="8.875" defaultRowHeight="13.5"/>
  <cols>
    <col min="1" max="7" width="12.125" style="3" customWidth="1"/>
    <col min="8" max="16384" width="8.875" style="3"/>
  </cols>
  <sheetData>
    <row r="2" spans="1:8">
      <c r="A2" s="195" t="s">
        <v>181</v>
      </c>
      <c r="B2" s="195"/>
      <c r="C2" s="195"/>
      <c r="D2" s="195"/>
      <c r="E2" s="195"/>
      <c r="F2" s="195"/>
    </row>
    <row r="3" spans="1:8" ht="13.5" customHeight="1">
      <c r="A3" s="22"/>
      <c r="B3" s="22"/>
      <c r="C3" s="22"/>
      <c r="D3" s="22"/>
      <c r="E3" s="22"/>
      <c r="F3" s="22"/>
    </row>
    <row r="4" spans="1:8" ht="13.5" customHeight="1">
      <c r="A4" s="3" t="s">
        <v>85</v>
      </c>
    </row>
    <row r="5" spans="1:8" ht="29.45" customHeight="1">
      <c r="A5" s="194" t="s">
        <v>184</v>
      </c>
      <c r="B5" s="194"/>
      <c r="C5" s="194"/>
      <c r="D5" s="194"/>
      <c r="E5" s="194"/>
      <c r="F5" s="194"/>
      <c r="G5" s="194"/>
      <c r="H5" s="9"/>
    </row>
    <row r="6" spans="1:8" ht="15" customHeight="1">
      <c r="A6" s="129" t="s">
        <v>25</v>
      </c>
      <c r="B6" s="129" t="s">
        <v>10</v>
      </c>
      <c r="C6" s="129" t="s">
        <v>18</v>
      </c>
      <c r="D6" s="196" t="s">
        <v>23</v>
      </c>
      <c r="E6" s="196"/>
      <c r="F6" s="196"/>
      <c r="G6" s="196"/>
      <c r="H6" s="9"/>
    </row>
    <row r="7" spans="1:8">
      <c r="A7" s="130"/>
      <c r="B7" s="130"/>
      <c r="C7" s="130"/>
      <c r="D7" s="100">
        <v>0.6</v>
      </c>
      <c r="E7" s="28" t="s">
        <v>21</v>
      </c>
      <c r="F7" s="100">
        <v>75</v>
      </c>
      <c r="G7" s="29" t="s">
        <v>21</v>
      </c>
      <c r="H7" s="9"/>
    </row>
    <row r="8" spans="1:8" ht="15" customHeight="1">
      <c r="A8" s="130"/>
      <c r="B8" s="130"/>
      <c r="C8" s="130"/>
      <c r="D8" s="131" t="s">
        <v>24</v>
      </c>
      <c r="E8" s="175"/>
      <c r="F8" s="131" t="s">
        <v>24</v>
      </c>
      <c r="G8" s="131"/>
      <c r="H8" s="9"/>
    </row>
    <row r="9" spans="1:8" ht="15" customHeight="1">
      <c r="A9" s="131"/>
      <c r="B9" s="131"/>
      <c r="C9" s="131"/>
      <c r="D9" s="32" t="s">
        <v>20</v>
      </c>
      <c r="E9" s="32" t="s">
        <v>19</v>
      </c>
      <c r="F9" s="32" t="s">
        <v>20</v>
      </c>
      <c r="G9" s="32" t="s">
        <v>19</v>
      </c>
      <c r="H9" s="9"/>
    </row>
    <row r="10" spans="1:8" ht="15" customHeight="1">
      <c r="A10" s="177">
        <v>45535</v>
      </c>
      <c r="B10" s="129">
        <v>4</v>
      </c>
      <c r="C10" s="32">
        <v>1</v>
      </c>
      <c r="D10" s="76">
        <v>3.4063999999999997E-2</v>
      </c>
      <c r="E10" s="76">
        <v>3.6105999999999999E-2</v>
      </c>
      <c r="F10" s="76">
        <v>3.9340679999999999</v>
      </c>
      <c r="G10" s="76">
        <v>4.451759</v>
      </c>
      <c r="H10" s="9"/>
    </row>
    <row r="11" spans="1:8" ht="15" customHeight="1">
      <c r="A11" s="178"/>
      <c r="B11" s="130"/>
      <c r="C11" s="32">
        <v>2</v>
      </c>
      <c r="D11" s="76">
        <v>3.2680000000000001E-2</v>
      </c>
      <c r="E11" s="76">
        <v>3.7338999999999997E-2</v>
      </c>
      <c r="F11" s="76">
        <v>4.0499010000000002</v>
      </c>
      <c r="G11" s="76">
        <v>4.8271420000000003</v>
      </c>
      <c r="H11" s="9"/>
    </row>
    <row r="12" spans="1:8" ht="15" customHeight="1">
      <c r="A12" s="178"/>
      <c r="B12" s="130"/>
      <c r="C12" s="32">
        <v>3</v>
      </c>
      <c r="D12" s="76">
        <v>3.2770000000000001E-2</v>
      </c>
      <c r="E12" s="76">
        <v>3.7524000000000002E-2</v>
      </c>
      <c r="F12" s="76">
        <v>4.0497189999999996</v>
      </c>
      <c r="G12" s="76">
        <v>4.2662779999999998</v>
      </c>
      <c r="H12" s="9"/>
    </row>
    <row r="13" spans="1:8" ht="15" customHeight="1">
      <c r="A13" s="178"/>
      <c r="B13" s="130"/>
      <c r="C13" s="32">
        <v>4</v>
      </c>
      <c r="D13" s="76">
        <v>3.2622999999999999E-2</v>
      </c>
      <c r="E13" s="76">
        <v>3.4026000000000001E-2</v>
      </c>
      <c r="F13" s="76">
        <v>3.942555</v>
      </c>
      <c r="G13" s="76">
        <v>4.6925169999999996</v>
      </c>
      <c r="H13" s="9"/>
    </row>
    <row r="14" spans="1:8" ht="15" customHeight="1">
      <c r="A14" s="178"/>
      <c r="B14" s="130"/>
      <c r="C14" s="32">
        <v>5</v>
      </c>
      <c r="D14" s="76">
        <v>3.2682000000000003E-2</v>
      </c>
      <c r="E14" s="76">
        <v>3.6445999999999999E-2</v>
      </c>
      <c r="F14" s="76">
        <v>3.7889529999999998</v>
      </c>
      <c r="G14" s="76">
        <v>4.656345</v>
      </c>
      <c r="H14" s="9"/>
    </row>
    <row r="15" spans="1:8" ht="15" customHeight="1">
      <c r="A15" s="178"/>
      <c r="B15" s="130"/>
      <c r="C15" s="34">
        <v>6</v>
      </c>
      <c r="D15" s="76">
        <v>3.0797000000000001E-2</v>
      </c>
      <c r="E15" s="76">
        <v>3.8406999999999997E-2</v>
      </c>
      <c r="F15" s="76">
        <v>4.2270029999999998</v>
      </c>
      <c r="G15" s="76">
        <v>4.3739249999999998</v>
      </c>
      <c r="H15" s="9"/>
    </row>
    <row r="16" spans="1:8" ht="15" customHeight="1">
      <c r="A16" s="32" t="s">
        <v>17</v>
      </c>
      <c r="B16" s="186"/>
      <c r="C16" s="187"/>
      <c r="D16" s="76">
        <f>ROUND(AVERAGE(D10:D15),6)</f>
        <v>3.2603E-2</v>
      </c>
      <c r="E16" s="76">
        <f>ROUND(AVERAGE(E10:E15),6)</f>
        <v>3.6641E-2</v>
      </c>
      <c r="F16" s="76">
        <f>ROUND(AVERAGE(F10:F15),6)</f>
        <v>3.9986999999999999</v>
      </c>
      <c r="G16" s="76">
        <f>ROUND(AVERAGE(G10:G15),6)</f>
        <v>4.5446609999999996</v>
      </c>
    </row>
    <row r="17" spans="1:8" ht="15" customHeight="1">
      <c r="A17" s="32" t="s">
        <v>4</v>
      </c>
      <c r="B17" s="188"/>
      <c r="C17" s="189"/>
      <c r="D17" s="76">
        <f>ROUND(STDEV(D10:D15),6)</f>
        <v>1.0430000000000001E-3</v>
      </c>
      <c r="E17" s="76">
        <f>ROUND(STDEV(E10:E15),6)</f>
        <v>1.5200000000000001E-3</v>
      </c>
      <c r="F17" s="76">
        <f>ROUND(STDEV(F10:F15),6)</f>
        <v>0.147425</v>
      </c>
      <c r="G17" s="76">
        <f>ROUND(STDEV(G10:G15),6)</f>
        <v>0.2142</v>
      </c>
    </row>
    <row r="18" spans="1:8" ht="15" customHeight="1">
      <c r="A18" s="32" t="s">
        <v>182</v>
      </c>
      <c r="B18" s="188"/>
      <c r="C18" s="189"/>
      <c r="D18" s="8">
        <f>ROUND(D17/D16*100,1)</f>
        <v>3.2</v>
      </c>
      <c r="E18" s="8">
        <f>ROUND(E17/E16*100,1)</f>
        <v>4.0999999999999996</v>
      </c>
      <c r="F18" s="8">
        <f>ROUND(F17/F16*100,1)</f>
        <v>3.7</v>
      </c>
      <c r="G18" s="8">
        <f>ROUND(G17/G16*100,1)</f>
        <v>4.7</v>
      </c>
    </row>
    <row r="19" spans="1:8" ht="15" customHeight="1">
      <c r="A19" s="32" t="s">
        <v>183</v>
      </c>
      <c r="B19" s="190"/>
      <c r="C19" s="191"/>
      <c r="D19" s="193">
        <f>ROUND((D16-E16)/E16*100,1)</f>
        <v>-11</v>
      </c>
      <c r="E19" s="193"/>
      <c r="F19" s="193">
        <f>ROUND((F16-G16)/G16*100,1)</f>
        <v>-12</v>
      </c>
      <c r="G19" s="193"/>
    </row>
    <row r="20" spans="1:8" ht="15" customHeight="1">
      <c r="A20" s="16"/>
      <c r="B20" s="27"/>
      <c r="C20" s="27"/>
      <c r="D20" s="20"/>
      <c r="E20" s="20"/>
      <c r="F20" s="20"/>
      <c r="G20" s="20"/>
    </row>
    <row r="21" spans="1:8" ht="15" customHeight="1"/>
    <row r="22" spans="1:8">
      <c r="A22" s="9" t="s">
        <v>169</v>
      </c>
      <c r="B22" s="22"/>
      <c r="C22" s="22"/>
      <c r="D22" s="22"/>
      <c r="E22" s="22"/>
      <c r="F22" s="22"/>
    </row>
    <row r="23" spans="1:8" ht="29.45" customHeight="1">
      <c r="A23" s="194" t="s">
        <v>184</v>
      </c>
      <c r="B23" s="194"/>
      <c r="C23" s="194"/>
      <c r="D23" s="194"/>
      <c r="E23" s="194"/>
      <c r="F23" s="194"/>
      <c r="G23" s="194"/>
      <c r="H23" s="9"/>
    </row>
    <row r="24" spans="1:8" ht="15" customHeight="1">
      <c r="A24" s="129" t="s">
        <v>25</v>
      </c>
      <c r="B24" s="129" t="s">
        <v>10</v>
      </c>
      <c r="C24" s="129" t="s">
        <v>18</v>
      </c>
      <c r="D24" s="112" t="s">
        <v>170</v>
      </c>
      <c r="E24" s="112"/>
      <c r="F24" s="112"/>
      <c r="G24" s="112"/>
      <c r="H24" s="9"/>
    </row>
    <row r="25" spans="1:8" ht="27">
      <c r="A25" s="130"/>
      <c r="B25" s="130"/>
      <c r="C25" s="130"/>
      <c r="D25" s="31" t="s">
        <v>167</v>
      </c>
      <c r="E25" s="7" t="s">
        <v>171</v>
      </c>
      <c r="F25" s="31" t="s">
        <v>168</v>
      </c>
      <c r="G25" s="7" t="s">
        <v>172</v>
      </c>
      <c r="H25" s="9"/>
    </row>
    <row r="26" spans="1:8" ht="15" customHeight="1">
      <c r="A26" s="130"/>
      <c r="B26" s="130"/>
      <c r="C26" s="130"/>
      <c r="D26" s="174" t="s">
        <v>173</v>
      </c>
      <c r="E26" s="175"/>
      <c r="F26" s="176" t="s">
        <v>173</v>
      </c>
      <c r="G26" s="115"/>
      <c r="H26" s="9"/>
    </row>
    <row r="27" spans="1:8" ht="15" customHeight="1">
      <c r="A27" s="131"/>
      <c r="B27" s="131"/>
      <c r="C27" s="131"/>
      <c r="D27" s="32" t="s">
        <v>20</v>
      </c>
      <c r="E27" s="32" t="s">
        <v>19</v>
      </c>
      <c r="F27" s="32" t="s">
        <v>20</v>
      </c>
      <c r="G27" s="32" t="s">
        <v>19</v>
      </c>
      <c r="H27" s="9"/>
    </row>
    <row r="28" spans="1:8" ht="15" customHeight="1">
      <c r="A28" s="177">
        <v>45535</v>
      </c>
      <c r="B28" s="129">
        <v>4</v>
      </c>
      <c r="C28" s="32">
        <v>1</v>
      </c>
      <c r="D28" s="76">
        <v>0.376357</v>
      </c>
      <c r="E28" s="76">
        <v>0.41975800000000002</v>
      </c>
      <c r="F28" s="76">
        <v>5.362857</v>
      </c>
      <c r="G28" s="76">
        <v>6.0567909999999996</v>
      </c>
      <c r="H28" s="9"/>
    </row>
    <row r="29" spans="1:8" ht="15" customHeight="1">
      <c r="A29" s="178"/>
      <c r="B29" s="130"/>
      <c r="C29" s="32">
        <v>2</v>
      </c>
      <c r="D29" s="76">
        <v>0.38554699999999997</v>
      </c>
      <c r="E29" s="76">
        <v>0.43566199999999999</v>
      </c>
      <c r="F29" s="76">
        <v>5.6722570000000001</v>
      </c>
      <c r="G29" s="76">
        <v>6.416315</v>
      </c>
      <c r="H29" s="9"/>
    </row>
    <row r="30" spans="1:8" ht="15" customHeight="1">
      <c r="A30" s="178"/>
      <c r="B30" s="130"/>
      <c r="C30" s="32">
        <v>3</v>
      </c>
      <c r="D30" s="76">
        <v>0.38413599999999998</v>
      </c>
      <c r="E30" s="76">
        <v>0.41295199999999999</v>
      </c>
      <c r="F30" s="76">
        <v>5.3299050000000001</v>
      </c>
      <c r="G30" s="76">
        <v>6.8483270000000003</v>
      </c>
      <c r="H30" s="9"/>
    </row>
    <row r="31" spans="1:8" ht="15" customHeight="1">
      <c r="A31" s="178"/>
      <c r="B31" s="130"/>
      <c r="C31" s="32">
        <v>4</v>
      </c>
      <c r="D31" s="76">
        <v>0.38341599999999998</v>
      </c>
      <c r="E31" s="76">
        <v>0.444799</v>
      </c>
      <c r="F31" s="76">
        <v>5.543533</v>
      </c>
      <c r="G31" s="76">
        <v>6.3197340000000004</v>
      </c>
      <c r="H31" s="9"/>
    </row>
    <row r="32" spans="1:8" ht="15" customHeight="1">
      <c r="A32" s="178"/>
      <c r="B32" s="130"/>
      <c r="C32" s="32">
        <v>5</v>
      </c>
      <c r="D32" s="76">
        <v>0.37675700000000001</v>
      </c>
      <c r="E32" s="76">
        <v>0.38545000000000001</v>
      </c>
      <c r="F32" s="76">
        <v>5.349583</v>
      </c>
      <c r="G32" s="76">
        <v>6.0477150000000002</v>
      </c>
      <c r="H32" s="9"/>
    </row>
    <row r="33" spans="1:8" ht="15" customHeight="1">
      <c r="A33" s="178"/>
      <c r="B33" s="130"/>
      <c r="C33" s="34">
        <v>6</v>
      </c>
      <c r="D33" s="76">
        <v>0.37249700000000002</v>
      </c>
      <c r="E33" s="76">
        <v>0.42976999999999999</v>
      </c>
      <c r="F33" s="76">
        <v>5.4636570000000004</v>
      </c>
      <c r="G33" s="76">
        <v>6.0211129999999997</v>
      </c>
      <c r="H33" s="9"/>
    </row>
    <row r="34" spans="1:8" ht="15" customHeight="1">
      <c r="A34" s="32" t="s">
        <v>17</v>
      </c>
      <c r="B34" s="186"/>
      <c r="C34" s="187"/>
      <c r="D34" s="76">
        <f>ROUND(AVERAGE(D28:D33),6)</f>
        <v>0.37978499999999998</v>
      </c>
      <c r="E34" s="76">
        <f>ROUND(AVERAGE(E28:E33),6)</f>
        <v>0.42139900000000002</v>
      </c>
      <c r="F34" s="76">
        <f>ROUND(AVERAGE(F28:F33),6)</f>
        <v>5.4536319999999998</v>
      </c>
      <c r="G34" s="76">
        <f>ROUND(AVERAGE(G28:G33),6)</f>
        <v>6.284999</v>
      </c>
    </row>
    <row r="35" spans="1:8" ht="15" customHeight="1">
      <c r="A35" s="32" t="s">
        <v>4</v>
      </c>
      <c r="B35" s="188"/>
      <c r="C35" s="189"/>
      <c r="D35" s="76">
        <f>ROUND(STDEV(D28:D33),6)</f>
        <v>5.2789999999999998E-3</v>
      </c>
      <c r="E35" s="76">
        <f>ROUND(STDEV(E28:E33),6)</f>
        <v>2.0916000000000001E-2</v>
      </c>
      <c r="F35" s="76">
        <f>ROUND(STDEV(F28:F33),6)</f>
        <v>0.13442799999999999</v>
      </c>
      <c r="G35" s="76">
        <f>ROUND(STDEV(G28:G33),6)</f>
        <v>0.32056400000000002</v>
      </c>
    </row>
    <row r="36" spans="1:8" ht="15" customHeight="1">
      <c r="A36" s="32" t="s">
        <v>41</v>
      </c>
      <c r="B36" s="188"/>
      <c r="C36" s="189"/>
      <c r="D36" s="8">
        <f>ROUND(D35/D34*100,1)</f>
        <v>1.4</v>
      </c>
      <c r="E36" s="8">
        <f>ROUND(E35/E34*100,1)</f>
        <v>5</v>
      </c>
      <c r="F36" s="8">
        <f>ROUND(F35/F34*100,1)</f>
        <v>2.5</v>
      </c>
      <c r="G36" s="8">
        <f>ROUND(G35/G34*100,1)</f>
        <v>5.0999999999999996</v>
      </c>
    </row>
    <row r="37" spans="1:8" ht="15" customHeight="1">
      <c r="A37" s="32" t="s">
        <v>43</v>
      </c>
      <c r="B37" s="190"/>
      <c r="C37" s="191"/>
      <c r="D37" s="192">
        <f>ROUND((D34-E34)/E34*100,1)</f>
        <v>-9.9</v>
      </c>
      <c r="E37" s="192"/>
      <c r="F37" s="193">
        <f>ROUND((F34-G34)/G34*100,1)</f>
        <v>-13.2</v>
      </c>
      <c r="G37" s="193"/>
    </row>
    <row r="46" spans="1:8">
      <c r="B46" s="9"/>
    </row>
    <row r="47" spans="1:8">
      <c r="B47" s="9"/>
    </row>
  </sheetData>
  <mergeCells count="25">
    <mergeCell ref="A10:A15"/>
    <mergeCell ref="B10:B15"/>
    <mergeCell ref="D19:E19"/>
    <mergeCell ref="B16:C19"/>
    <mergeCell ref="F19:G19"/>
    <mergeCell ref="A2:F2"/>
    <mergeCell ref="A6:A9"/>
    <mergeCell ref="B6:B9"/>
    <mergeCell ref="C6:C9"/>
    <mergeCell ref="F8:G8"/>
    <mergeCell ref="D6:G6"/>
    <mergeCell ref="D8:E8"/>
    <mergeCell ref="A5:G5"/>
    <mergeCell ref="A23:G23"/>
    <mergeCell ref="A24:A27"/>
    <mergeCell ref="B24:B27"/>
    <mergeCell ref="C24:C27"/>
    <mergeCell ref="D24:G24"/>
    <mergeCell ref="D26:E26"/>
    <mergeCell ref="F26:G26"/>
    <mergeCell ref="A28:A33"/>
    <mergeCell ref="B28:B33"/>
    <mergeCell ref="B34:C37"/>
    <mergeCell ref="D37:E37"/>
    <mergeCell ref="F37:G37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99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2:G16"/>
  <sheetViews>
    <sheetView view="pageBreakPreview" zoomScaleNormal="100" zoomScaleSheetLayoutView="100" workbookViewId="0">
      <selection activeCell="L31" sqref="L31"/>
    </sheetView>
  </sheetViews>
  <sheetFormatPr defaultColWidth="8.875" defaultRowHeight="13.5"/>
  <cols>
    <col min="1" max="1" width="13.5" style="9" customWidth="1"/>
    <col min="2" max="2" width="14.375" style="9" customWidth="1"/>
    <col min="3" max="3" width="12.75" style="9" customWidth="1"/>
    <col min="4" max="4" width="11.625" style="9" customWidth="1"/>
    <col min="5" max="5" width="12.75" style="9" customWidth="1"/>
    <col min="6" max="6" width="11.625" style="9" customWidth="1"/>
    <col min="7" max="16384" width="8.875" style="9"/>
  </cols>
  <sheetData>
    <row r="2" spans="1:7">
      <c r="A2" s="9" t="s">
        <v>27</v>
      </c>
    </row>
    <row r="3" spans="1:7">
      <c r="A3" s="11"/>
      <c r="B3" s="11"/>
      <c r="C3" s="11"/>
    </row>
    <row r="4" spans="1:7" ht="15.75" customHeight="1">
      <c r="A4" s="9" t="s">
        <v>85</v>
      </c>
    </row>
    <row r="5" spans="1:7" s="10" customFormat="1">
      <c r="A5" s="129" t="s">
        <v>25</v>
      </c>
      <c r="B5" s="129" t="s">
        <v>10</v>
      </c>
      <c r="C5" s="32" t="s">
        <v>7</v>
      </c>
      <c r="D5" s="115" t="s">
        <v>35</v>
      </c>
      <c r="E5" s="43" t="s">
        <v>1</v>
      </c>
      <c r="F5" s="115" t="s">
        <v>35</v>
      </c>
    </row>
    <row r="6" spans="1:7" s="10" customFormat="1">
      <c r="A6" s="130"/>
      <c r="B6" s="130"/>
      <c r="C6" s="67">
        <v>0.6</v>
      </c>
      <c r="D6" s="115"/>
      <c r="E6" s="67">
        <v>75</v>
      </c>
      <c r="F6" s="115"/>
    </row>
    <row r="7" spans="1:7" s="10" customFormat="1">
      <c r="A7" s="131"/>
      <c r="B7" s="131"/>
      <c r="C7" s="33" t="s">
        <v>6</v>
      </c>
      <c r="D7" s="115"/>
      <c r="E7" s="102" t="s">
        <v>6</v>
      </c>
      <c r="F7" s="115"/>
    </row>
    <row r="8" spans="1:7" s="10" customFormat="1">
      <c r="A8" s="125">
        <v>45536</v>
      </c>
      <c r="B8" s="129">
        <v>5</v>
      </c>
      <c r="C8" s="83">
        <v>0.66500000000000004</v>
      </c>
      <c r="D8" s="8">
        <f t="shared" ref="D8:D10" si="0">ROUND((C8-C$6)/C$6*100,1)</f>
        <v>10.8</v>
      </c>
      <c r="E8" s="83">
        <v>79.295000000000002</v>
      </c>
      <c r="F8" s="8">
        <f t="shared" ref="F8:F10" si="1">ROUND((E8-E$6)/E$6*100,1)</f>
        <v>5.7</v>
      </c>
    </row>
    <row r="9" spans="1:7" s="10" customFormat="1">
      <c r="A9" s="125"/>
      <c r="B9" s="130"/>
      <c r="C9" s="83">
        <v>0.68100000000000005</v>
      </c>
      <c r="D9" s="8">
        <f t="shared" si="0"/>
        <v>13.5</v>
      </c>
      <c r="E9" s="83">
        <v>75.472999999999999</v>
      </c>
      <c r="F9" s="8">
        <f t="shared" si="1"/>
        <v>0.6</v>
      </c>
    </row>
    <row r="10" spans="1:7" s="10" customFormat="1">
      <c r="A10" s="125"/>
      <c r="B10" s="130"/>
      <c r="C10" s="83">
        <v>0.69799999999999995</v>
      </c>
      <c r="D10" s="8">
        <f t="shared" si="0"/>
        <v>16.3</v>
      </c>
      <c r="E10" s="83">
        <v>75.361000000000004</v>
      </c>
      <c r="F10" s="8">
        <f t="shared" si="1"/>
        <v>0.5</v>
      </c>
    </row>
    <row r="11" spans="1:7" s="10" customFormat="1">
      <c r="A11" s="32" t="s">
        <v>17</v>
      </c>
      <c r="B11" s="133"/>
      <c r="C11" s="7">
        <f>ROUND(AVERAGE(C8:C10),3)</f>
        <v>0.68100000000000005</v>
      </c>
      <c r="D11" s="133"/>
      <c r="E11" s="7">
        <f>ROUND(AVERAGE(E8:E10),3)</f>
        <v>76.709999999999994</v>
      </c>
      <c r="F11" s="133"/>
    </row>
    <row r="12" spans="1:7" s="10" customFormat="1">
      <c r="A12" s="32" t="s">
        <v>4</v>
      </c>
      <c r="B12" s="134"/>
      <c r="C12" s="7">
        <f>ROUND(STDEV(C8:C10),3)</f>
        <v>1.7000000000000001E-2</v>
      </c>
      <c r="D12" s="134"/>
      <c r="E12" s="7">
        <f>ROUND(STDEV(E8:E10),3)</f>
        <v>2.2400000000000002</v>
      </c>
      <c r="F12" s="134"/>
      <c r="G12" s="102"/>
    </row>
    <row r="13" spans="1:7" s="10" customFormat="1">
      <c r="A13" s="32" t="s">
        <v>41</v>
      </c>
      <c r="B13" s="134"/>
      <c r="C13" s="8">
        <f>ROUND(C12/C11*100,1)</f>
        <v>2.5</v>
      </c>
      <c r="D13" s="134"/>
      <c r="E13" s="8">
        <f>ROUND(E12/E11*100,1)</f>
        <v>2.9</v>
      </c>
      <c r="F13" s="134"/>
      <c r="G13" s="102"/>
    </row>
    <row r="14" spans="1:7" s="10" customFormat="1">
      <c r="A14" s="32" t="s">
        <v>42</v>
      </c>
      <c r="B14" s="134"/>
      <c r="C14" s="8">
        <f>ROUND(C11/C$6*100,1)</f>
        <v>113.5</v>
      </c>
      <c r="D14" s="134"/>
      <c r="E14" s="8">
        <f>ROUND(E11/E$6*100,1)</f>
        <v>102.3</v>
      </c>
      <c r="F14" s="134"/>
      <c r="G14" s="102"/>
    </row>
    <row r="15" spans="1:7" s="10" customFormat="1">
      <c r="A15" s="32" t="s">
        <v>5</v>
      </c>
      <c r="B15" s="135"/>
      <c r="C15" s="32">
        <v>3</v>
      </c>
      <c r="D15" s="135"/>
      <c r="E15" s="32">
        <v>3</v>
      </c>
      <c r="F15" s="135"/>
      <c r="G15" s="102"/>
    </row>
    <row r="16" spans="1:7" s="10" customFormat="1">
      <c r="A16" s="185"/>
      <c r="B16" s="185"/>
      <c r="C16" s="185"/>
      <c r="D16" s="185"/>
      <c r="G16" s="102"/>
    </row>
  </sheetData>
  <mergeCells count="10">
    <mergeCell ref="A5:A7"/>
    <mergeCell ref="B5:B7"/>
    <mergeCell ref="D5:D7"/>
    <mergeCell ref="F5:F7"/>
    <mergeCell ref="F11:F15"/>
    <mergeCell ref="A16:D16"/>
    <mergeCell ref="A8:A10"/>
    <mergeCell ref="B8:B10"/>
    <mergeCell ref="B11:B15"/>
    <mergeCell ref="D11:D15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6</vt:i4>
      </vt:variant>
    </vt:vector>
  </HeadingPairs>
  <TitlesOfParts>
    <vt:vector size="19" baseType="lpstr">
      <vt:lpstr>表1_schedule</vt:lpstr>
      <vt:lpstr>表4_Selectivity</vt:lpstr>
      <vt:lpstr>表5_特异性</vt:lpstr>
      <vt:lpstr>表6_ME</vt:lpstr>
      <vt:lpstr>表9_Inter QC</vt:lpstr>
      <vt:lpstr>表11_Recovery</vt:lpstr>
      <vt:lpstr>表12_IS Recov</vt:lpstr>
      <vt:lpstr>表13_Dilution</vt:lpstr>
      <vt:lpstr>表18_ST</vt:lpstr>
      <vt:lpstr>表19_FT</vt:lpstr>
      <vt:lpstr>表20_PSS</vt:lpstr>
      <vt:lpstr>表22_Blood</vt:lpstr>
      <vt:lpstr>表23_溶血效应</vt:lpstr>
      <vt:lpstr>表11_Recovery!Print_Area</vt:lpstr>
      <vt:lpstr>'表12_IS Recov'!Print_Area</vt:lpstr>
      <vt:lpstr>表19_FT!Print_Area</vt:lpstr>
      <vt:lpstr>表23_溶血效应!Print_Area</vt:lpstr>
      <vt:lpstr>表6_ME!Print_Area</vt:lpstr>
      <vt:lpstr>'表9_Inter 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sqxue</cp:lastModifiedBy>
  <cp:lastPrinted>2019-09-17T03:14:27Z</cp:lastPrinted>
  <dcterms:created xsi:type="dcterms:W3CDTF">2016-03-17T02:40:20Z</dcterms:created>
  <dcterms:modified xsi:type="dcterms:W3CDTF">2024-09-19T05:17:11Z</dcterms:modified>
</cp:coreProperties>
</file>