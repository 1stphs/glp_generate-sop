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Y:\43-试验电子数据的暂存目录\01-生物分析一部\02-QC\01-QCed data\2024年项目\SS24225\验证\SS24225BV01\"/>
    </mc:Choice>
  </mc:AlternateContent>
  <xr:revisionPtr revIDLastSave="0" documentId="13_ncr:1_{693B8754-8093-4E2D-A800-E6B60F53CF36}" xr6:coauthVersionLast="47" xr6:coauthVersionMax="47" xr10:uidLastSave="{00000000-0000-0000-0000-000000000000}"/>
  <bookViews>
    <workbookView xWindow="-120" yWindow="-120" windowWidth="29040" windowHeight="15840" tabRatio="852" firstSheet="5" activeTab="5" xr2:uid="{00000000-000D-0000-FFFF-FFFF00000000}"/>
  </bookViews>
  <sheets>
    <sheet name="1.1" sheetId="33" r:id="rId1"/>
    <sheet name="2.1标准品" sheetId="35" r:id="rId2"/>
    <sheet name="2.2内标" sheetId="40" r:id="rId3"/>
    <sheet name="2.5试剂" sheetId="41" r:id="rId4"/>
    <sheet name="2.6 空白基质" sheetId="51" r:id="rId5"/>
    <sheet name="2.9标准曲线质控样品配制" sheetId="50" r:id="rId6"/>
    <sheet name="表1_schedule" sheetId="7" r:id="rId7"/>
    <sheet name="表2_SST" sheetId="8" r:id="rId8"/>
    <sheet name="表3_CO" sheetId="10" r:id="rId9"/>
    <sheet name="表7_Regression" sheetId="13" r:id="rId10"/>
    <sheet name="表8_curve" sheetId="14" r:id="rId11"/>
    <sheet name="表10 QC (除准确度精密度分析批）" sheetId="42" r:id="rId12"/>
    <sheet name="表14_stock ST" sheetId="27" r:id="rId13"/>
    <sheet name="表15_spike ST" sheetId="20" r:id="rId14"/>
    <sheet name="表16_stock LT" sheetId="21" r:id="rId15"/>
    <sheet name="表17_spike LT" sheetId="22" r:id="rId16"/>
    <sheet name="表21_LTS" sheetId="39" r:id="rId17"/>
    <sheet name="分析天平" sheetId="46" r:id="rId18"/>
  </sheets>
  <definedNames>
    <definedName name="_xlnm.Print_Area" localSheetId="5">'2.9标准曲线质控样品配制'!$A$1:$C$18</definedName>
    <definedName name="_xlnm.Print_Area" localSheetId="6">表1_schedule!$A$1:$F$21</definedName>
    <definedName name="_xlnm.Print_Area" localSheetId="14">'表16_stock LT'!$A$1:$J$37</definedName>
    <definedName name="_xlnm.Print_Area" localSheetId="7">表2_SST!$A$1:$F$11</definedName>
    <definedName name="_xlnm.Print_Area" localSheetId="9">表7_Regression!$A$1:$G$27</definedName>
    <definedName name="_xlnm.Print_Area" localSheetId="10">表8_curve!$A$1:$R$43</definedName>
  </definedNames>
  <calcPr calcId="191029"/>
</workbook>
</file>

<file path=xl/calcChain.xml><?xml version="1.0" encoding="utf-8"?>
<calcChain xmlns="http://schemas.openxmlformats.org/spreadsheetml/2006/main">
  <c r="E25" i="22" l="1"/>
  <c r="E26" i="22"/>
  <c r="E27" i="22"/>
  <c r="E28" i="22"/>
  <c r="E29" i="22"/>
  <c r="E30" i="22"/>
  <c r="E31" i="22"/>
  <c r="E32" i="22"/>
  <c r="E33" i="22"/>
  <c r="E34" i="22"/>
  <c r="E35" i="22"/>
  <c r="E26" i="21"/>
  <c r="E27" i="21"/>
  <c r="E28" i="21"/>
  <c r="E29" i="21"/>
  <c r="E30" i="21"/>
  <c r="E31" i="21"/>
  <c r="E32" i="21"/>
  <c r="E33" i="21"/>
  <c r="E34" i="21"/>
  <c r="E35" i="21"/>
  <c r="E36" i="21"/>
  <c r="E25" i="20"/>
  <c r="E26" i="20"/>
  <c r="E27" i="20"/>
  <c r="E28" i="20"/>
  <c r="E29" i="20"/>
  <c r="E30" i="20"/>
  <c r="E31" i="20"/>
  <c r="E32" i="20"/>
  <c r="E33" i="20"/>
  <c r="E34" i="20"/>
  <c r="E35" i="20"/>
  <c r="E25" i="27"/>
  <c r="E26" i="27"/>
  <c r="E27" i="27"/>
  <c r="E28" i="27"/>
  <c r="E29" i="27"/>
  <c r="E30" i="27"/>
  <c r="E31" i="27"/>
  <c r="E32" i="27"/>
  <c r="E33" i="27"/>
  <c r="E34" i="27"/>
  <c r="E35" i="27"/>
  <c r="S35" i="39"/>
  <c r="S36" i="39" s="1"/>
  <c r="R35" i="39"/>
  <c r="Q35" i="39"/>
  <c r="Q36" i="39" s="1"/>
  <c r="P35" i="39"/>
  <c r="S34" i="39"/>
  <c r="R34" i="39"/>
  <c r="Q34" i="39"/>
  <c r="P34" i="39"/>
  <c r="P37" i="39" s="1"/>
  <c r="W25" i="39"/>
  <c r="G35" i="39"/>
  <c r="G36" i="39" s="1"/>
  <c r="F35" i="39"/>
  <c r="E35" i="39"/>
  <c r="D35" i="39"/>
  <c r="G34" i="39"/>
  <c r="F34" i="39"/>
  <c r="E34" i="39"/>
  <c r="D34" i="39"/>
  <c r="D37" i="39" s="1"/>
  <c r="K25" i="39"/>
  <c r="G16" i="10"/>
  <c r="I17" i="10" s="1"/>
  <c r="F16" i="10"/>
  <c r="H17" i="10" s="1"/>
  <c r="G14" i="10"/>
  <c r="I15" i="10" s="1"/>
  <c r="F14" i="10"/>
  <c r="H15" i="10" s="1"/>
  <c r="F37" i="39" l="1"/>
  <c r="E36" i="39"/>
  <c r="F36" i="39"/>
  <c r="D36" i="39"/>
  <c r="R36" i="39"/>
  <c r="R37" i="39"/>
  <c r="P36" i="39"/>
  <c r="I14" i="10"/>
  <c r="I16" i="10"/>
  <c r="H14" i="10"/>
  <c r="H16" i="10"/>
  <c r="G8" i="10" l="1"/>
  <c r="G10" i="10"/>
  <c r="G12" i="10"/>
  <c r="G6" i="10"/>
  <c r="F6" i="10"/>
  <c r="I13" i="10" l="1"/>
  <c r="I12" i="10"/>
  <c r="I7" i="10"/>
  <c r="I6" i="10"/>
  <c r="I11" i="10"/>
  <c r="I10" i="10"/>
  <c r="I9" i="10"/>
  <c r="I8" i="10"/>
  <c r="F12" i="10" l="1"/>
  <c r="F10" i="10"/>
  <c r="F8" i="10"/>
  <c r="E19" i="27"/>
  <c r="D19" i="27"/>
  <c r="C19" i="27"/>
  <c r="B19" i="27"/>
  <c r="E18" i="27"/>
  <c r="D18" i="27"/>
  <c r="C18" i="27"/>
  <c r="B18" i="27"/>
  <c r="I6" i="27"/>
  <c r="G19" i="20"/>
  <c r="F19" i="20"/>
  <c r="E19" i="20"/>
  <c r="D19" i="20"/>
  <c r="C19" i="20"/>
  <c r="B19" i="20"/>
  <c r="G18" i="20"/>
  <c r="F18" i="20"/>
  <c r="E18" i="20"/>
  <c r="D18" i="20"/>
  <c r="C18" i="20"/>
  <c r="B18" i="20"/>
  <c r="J6" i="20"/>
  <c r="E19" i="21"/>
  <c r="D19" i="21"/>
  <c r="C19" i="21"/>
  <c r="B19" i="21"/>
  <c r="E18" i="21"/>
  <c r="D18" i="21"/>
  <c r="C18" i="21"/>
  <c r="B18" i="21"/>
  <c r="G19" i="22"/>
  <c r="F19" i="22"/>
  <c r="E19" i="22"/>
  <c r="D19" i="22"/>
  <c r="C19" i="22"/>
  <c r="B19" i="22"/>
  <c r="G18" i="22"/>
  <c r="F18" i="22"/>
  <c r="E18" i="22"/>
  <c r="D18" i="22"/>
  <c r="C18" i="22"/>
  <c r="B18" i="22"/>
  <c r="E16" i="39"/>
  <c r="C16" i="39"/>
  <c r="E15" i="39"/>
  <c r="E18" i="39" s="1"/>
  <c r="C15" i="39"/>
  <c r="C18" i="39" s="1"/>
  <c r="F14" i="39"/>
  <c r="D14" i="39"/>
  <c r="F13" i="39"/>
  <c r="D13" i="39"/>
  <c r="F12" i="39"/>
  <c r="D12" i="39"/>
  <c r="F11" i="39"/>
  <c r="D11" i="39"/>
  <c r="F10" i="39"/>
  <c r="D10" i="39"/>
  <c r="F9" i="39"/>
  <c r="D9" i="39"/>
  <c r="C17" i="39" l="1"/>
  <c r="E17" i="39"/>
  <c r="H6" i="10"/>
  <c r="H7" i="10"/>
  <c r="H9" i="10"/>
  <c r="H8" i="10"/>
  <c r="H10" i="10"/>
  <c r="H11" i="10"/>
  <c r="H13" i="10"/>
  <c r="H12" i="10"/>
  <c r="E24" i="20" l="1"/>
  <c r="E24" i="27"/>
  <c r="D21" i="21" l="1"/>
  <c r="E24" i="22" l="1"/>
  <c r="E25" i="21"/>
  <c r="B21" i="22" l="1"/>
  <c r="L6" i="22"/>
  <c r="J6" i="21"/>
  <c r="D21" i="22" l="1"/>
  <c r="B21" i="20"/>
  <c r="K7" i="39"/>
  <c r="B21" i="27" l="1"/>
  <c r="B20" i="27"/>
  <c r="F20" i="20" l="1"/>
  <c r="D21" i="27"/>
  <c r="F21" i="22"/>
  <c r="F21" i="20"/>
  <c r="F20" i="22"/>
  <c r="G20" i="22"/>
  <c r="D20" i="21"/>
  <c r="E20" i="21"/>
  <c r="G20" i="20"/>
  <c r="E20" i="27"/>
  <c r="D20" i="27"/>
  <c r="D20" i="22" l="1"/>
  <c r="E20" i="22"/>
  <c r="D21" i="20"/>
  <c r="B21" i="21" l="1"/>
  <c r="C20" i="27"/>
  <c r="B20" i="22"/>
  <c r="C20" i="22"/>
  <c r="C20" i="21"/>
  <c r="B20" i="21"/>
  <c r="B20" i="20"/>
  <c r="C20" i="20"/>
  <c r="D20" i="20"/>
  <c r="E20" i="20"/>
</calcChain>
</file>

<file path=xl/sharedStrings.xml><?xml version="1.0" encoding="utf-8"?>
<sst xmlns="http://schemas.openxmlformats.org/spreadsheetml/2006/main" count="655" uniqueCount="370">
  <si>
    <t>LLOQ</t>
  </si>
  <si>
    <t>HQC</t>
  </si>
  <si>
    <t>MQC</t>
  </si>
  <si>
    <t>LQC</t>
  </si>
  <si>
    <t>SD</t>
  </si>
  <si>
    <t>ULOQ</t>
  </si>
  <si>
    <t>n</t>
  </si>
  <si>
    <t>STD1</t>
  </si>
  <si>
    <t>y = ax + b</t>
  </si>
  <si>
    <t>STD2</t>
  </si>
  <si>
    <t>STD3</t>
  </si>
  <si>
    <t>STD4</t>
  </si>
  <si>
    <t>STD5</t>
  </si>
  <si>
    <t>STD6</t>
  </si>
  <si>
    <t>STD7</t>
  </si>
  <si>
    <t>ng/mL</t>
  </si>
  <si>
    <t>STD8</t>
  </si>
  <si>
    <t/>
  </si>
  <si>
    <t xml:space="preserve">AB Sciex </t>
  </si>
  <si>
    <r>
      <t xml:space="preserve">1.1 </t>
    </r>
    <r>
      <rPr>
        <sz val="10.5"/>
        <rFont val="宋体"/>
        <family val="3"/>
        <charset val="134"/>
      </rPr>
      <t>检测方法概述</t>
    </r>
  </si>
  <si>
    <r>
      <rPr>
        <sz val="10.5"/>
        <rFont val="宋体"/>
        <family val="3"/>
        <charset val="134"/>
      </rPr>
      <t>样品体积</t>
    </r>
  </si>
  <si>
    <r>
      <rPr>
        <sz val="10.5"/>
        <rFont val="宋体"/>
        <family val="3"/>
        <charset val="134"/>
      </rPr>
      <t>内标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</si>
  <si>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</si>
  <si>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</si>
  <si>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</si>
  <si>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内标保留时间</t>
    </r>
  </si>
  <si>
    <r>
      <rPr>
        <sz val="10.5"/>
        <rFont val="宋体"/>
        <family val="3"/>
        <charset val="134"/>
      </rPr>
      <t>平均值</t>
    </r>
  </si>
  <si>
    <t>ng/mL</t>
    <phoneticPr fontId="3" type="noConversion"/>
  </si>
  <si>
    <r>
      <rPr>
        <sz val="10.5"/>
        <rFont val="宋体"/>
        <family val="3"/>
        <charset val="134"/>
      </rPr>
      <t>待测物</t>
    </r>
  </si>
  <si>
    <r>
      <rPr>
        <sz val="10.5"/>
        <rFont val="宋体"/>
        <family val="3"/>
        <charset val="134"/>
      </rPr>
      <t>检测峰面积比</t>
    </r>
  </si>
  <si>
    <r>
      <rPr>
        <sz val="10.5"/>
        <rFont val="宋体"/>
        <family val="3"/>
        <charset val="134"/>
      </rPr>
      <t>稳定性考察样品</t>
    </r>
  </si>
  <si>
    <r>
      <rPr>
        <sz val="10.5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</si>
  <si>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内标回收率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</si>
  <si>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储备液短期稳定性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</si>
  <si>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工作液短期稳定性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</si>
  <si>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工作液长期稳定性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</si>
  <si>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冻融稳定性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</si>
  <si>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待测物残留</t>
    </r>
    <phoneticPr fontId="3" type="noConversion"/>
  </si>
  <si>
    <r>
      <rPr>
        <sz val="10.5"/>
        <rFont val="宋体"/>
        <family val="3"/>
        <charset val="134"/>
      </rPr>
      <t>选择性</t>
    </r>
    <phoneticPr fontId="3" type="noConversion"/>
  </si>
  <si>
    <r>
      <rPr>
        <sz val="10.5"/>
        <rFont val="宋体"/>
        <family val="3"/>
        <charset val="134"/>
      </rPr>
      <t>稀释倍数</t>
    </r>
    <phoneticPr fontId="3" type="noConversion"/>
  </si>
  <si>
    <r>
      <rPr>
        <sz val="10.5"/>
        <rFont val="宋体"/>
        <family val="3"/>
        <charset val="134"/>
      </rPr>
      <t>储备液长期稳定性</t>
    </r>
    <phoneticPr fontId="3" type="noConversion"/>
  </si>
  <si>
    <r>
      <rPr>
        <sz val="10.5"/>
        <rFont val="宋体"/>
        <family val="3"/>
        <charset val="134"/>
      </rPr>
      <t>生物样品前处理过程中的短期稳定性</t>
    </r>
    <phoneticPr fontId="3" type="noConversion"/>
  </si>
  <si>
    <r>
      <rPr>
        <sz val="10.5"/>
        <rFont val="宋体"/>
        <family val="3"/>
        <charset val="134"/>
      </rPr>
      <t>生物基质中待测物的长期稳定性</t>
    </r>
    <phoneticPr fontId="3" type="noConversion"/>
  </si>
  <si>
    <r>
      <rPr>
        <sz val="10.5"/>
        <rFont val="宋体"/>
        <family val="3"/>
        <charset val="134"/>
      </rPr>
      <t>全血稳定性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</si>
  <si>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溶血效应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</si>
  <si>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</si>
  <si>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</si>
  <si>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t>mg/mL</t>
    <phoneticPr fontId="3" type="noConversion"/>
  </si>
  <si>
    <r>
      <rPr>
        <sz val="10.5"/>
        <rFont val="宋体"/>
        <family val="3"/>
        <charset val="134"/>
      </rPr>
      <t>参比样品</t>
    </r>
    <phoneticPr fontId="3" type="noConversion"/>
  </si>
  <si>
    <r>
      <t>T</t>
    </r>
    <r>
      <rPr>
        <vertAlign val="subscript"/>
        <sz val="10.5"/>
        <rFont val="Times New Roman"/>
        <family val="1"/>
      </rPr>
      <t>x</t>
    </r>
    <phoneticPr fontId="3" type="noConversion"/>
  </si>
  <si>
    <r>
      <rPr>
        <sz val="10.5"/>
        <color theme="1"/>
        <rFont val="宋体"/>
        <family val="3"/>
        <charset val="134"/>
      </rPr>
      <t>检测日期</t>
    </r>
    <phoneticPr fontId="3" type="noConversion"/>
  </si>
  <si>
    <r>
      <rPr>
        <sz val="10.5"/>
        <rFont val="宋体"/>
        <family val="3"/>
        <charset val="134"/>
      </rPr>
      <t>待测物回收率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</si>
  <si>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色谱柱型号及所用序列号</t>
    </r>
    <phoneticPr fontId="3" type="noConversion"/>
  </si>
  <si>
    <r>
      <rPr>
        <sz val="10.5"/>
        <rFont val="宋体"/>
        <family val="3"/>
        <charset val="134"/>
      </rPr>
      <t>系统适用性</t>
    </r>
    <phoneticPr fontId="3" type="noConversion"/>
  </si>
  <si>
    <r>
      <rPr>
        <sz val="10.5"/>
        <rFont val="宋体"/>
        <family val="3"/>
        <charset val="134"/>
      </rPr>
      <t>特异性</t>
    </r>
    <phoneticPr fontId="3" type="noConversion"/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</si>
  <si>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</si>
  <si>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长期稳定性样品配置日期：</t>
    </r>
  </si>
  <si>
    <r>
      <rPr>
        <sz val="10.5"/>
        <rFont val="宋体"/>
        <family val="3"/>
        <charset val="134"/>
      </rPr>
      <t>长期稳定性样品处理日期：</t>
    </r>
  </si>
  <si>
    <r>
      <rPr>
        <sz val="10.5"/>
        <rFont val="宋体"/>
        <family val="3"/>
        <charset val="134"/>
      </rPr>
      <t>长期稳定性样品放置时间（天）：</t>
    </r>
  </si>
  <si>
    <r>
      <rPr>
        <sz val="10.5"/>
        <color theme="1"/>
        <rFont val="宋体"/>
        <family val="3"/>
        <charset val="134"/>
      </rPr>
      <t>样品名称</t>
    </r>
    <phoneticPr fontId="3" type="noConversion"/>
  </si>
  <si>
    <r>
      <rPr>
        <sz val="10.5"/>
        <color theme="1"/>
        <rFont val="宋体"/>
        <family val="3"/>
        <charset val="134"/>
      </rPr>
      <t>待测物峰面积</t>
    </r>
    <phoneticPr fontId="3" type="noConversion"/>
  </si>
  <si>
    <r>
      <rPr>
        <sz val="10.5"/>
        <color theme="1"/>
        <rFont val="宋体"/>
        <family val="3"/>
        <charset val="134"/>
      </rPr>
      <t>内标峰面积</t>
    </r>
    <phoneticPr fontId="3" type="noConversion"/>
  </si>
  <si>
    <r>
      <rPr>
        <sz val="10.5"/>
        <color theme="1"/>
        <rFont val="宋体"/>
        <family val="3"/>
        <charset val="134"/>
      </rPr>
      <t>内标峰面积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待测物峰面积</t>
    </r>
    <phoneticPr fontId="3" type="noConversion"/>
  </si>
  <si>
    <r>
      <rPr>
        <sz val="10.5"/>
        <rFont val="宋体"/>
        <family val="3"/>
        <charset val="134"/>
      </rPr>
      <t>工作液开始放置时间：</t>
    </r>
  </si>
  <si>
    <r>
      <rPr>
        <sz val="10.5"/>
        <rFont val="宋体"/>
        <family val="3"/>
        <charset val="134"/>
      </rPr>
      <t>工作液放置结束时间：</t>
    </r>
  </si>
  <si>
    <r>
      <rPr>
        <sz val="10.5"/>
        <rFont val="宋体"/>
        <family val="3"/>
        <charset val="134"/>
      </rPr>
      <t>储备液开始放置时间：</t>
    </r>
  </si>
  <si>
    <r>
      <rPr>
        <sz val="10.5"/>
        <rFont val="宋体"/>
        <family val="3"/>
        <charset val="134"/>
      </rPr>
      <t>储备液放置结束时间：</t>
    </r>
  </si>
  <si>
    <r>
      <rPr>
        <sz val="10.5"/>
        <rFont val="宋体"/>
        <family val="3"/>
        <charset val="134"/>
      </rPr>
      <t>内标</t>
    </r>
    <phoneticPr fontId="3" type="noConversion"/>
  </si>
  <si>
    <r>
      <rPr>
        <sz val="10.5"/>
        <rFont val="宋体"/>
        <family val="3"/>
        <charset val="134"/>
      </rPr>
      <t>检测批次编号</t>
    </r>
    <phoneticPr fontId="3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</si>
  <si>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3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</si>
  <si>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3" type="noConversion"/>
  </si>
  <si>
    <r>
      <rPr>
        <sz val="10.5"/>
        <rFont val="宋体"/>
        <family val="3"/>
        <charset val="134"/>
      </rPr>
      <t>待测物保留时间</t>
    </r>
    <phoneticPr fontId="3" type="noConversion"/>
  </si>
  <si>
    <r>
      <rPr>
        <sz val="10.5"/>
        <rFont val="宋体"/>
        <family val="3"/>
        <charset val="134"/>
      </rPr>
      <t>备注：</t>
    </r>
  </si>
  <si>
    <r>
      <rPr>
        <sz val="10.5"/>
        <rFont val="宋体"/>
        <family val="3"/>
        <charset val="134"/>
      </rPr>
      <t>化合物名称</t>
    </r>
    <r>
      <rPr>
        <sz val="10.5"/>
        <rFont val="Times New Roman"/>
        <family val="1"/>
      </rPr>
      <t> </t>
    </r>
  </si>
  <si>
    <r>
      <rPr>
        <sz val="10.5"/>
        <rFont val="宋体"/>
        <family val="3"/>
        <charset val="134"/>
      </rPr>
      <t>化合物代码</t>
    </r>
  </si>
  <si>
    <r>
      <rPr>
        <sz val="10.5"/>
        <rFont val="宋体"/>
        <family val="3"/>
        <charset val="134"/>
      </rPr>
      <t>标准品登记号</t>
    </r>
  </si>
  <si>
    <r>
      <rPr>
        <sz val="10.5"/>
        <rFont val="宋体"/>
        <family val="3"/>
        <charset val="134"/>
      </rPr>
      <t>批号</t>
    </r>
  </si>
  <si>
    <r>
      <rPr>
        <sz val="10.5"/>
        <rFont val="宋体"/>
        <family val="3"/>
        <charset val="134"/>
      </rPr>
      <t>含量</t>
    </r>
  </si>
  <si>
    <r>
      <rPr>
        <sz val="10.5"/>
        <rFont val="宋体"/>
        <family val="3"/>
        <charset val="134"/>
      </rPr>
      <t>保存条件</t>
    </r>
    <phoneticPr fontId="3" type="noConversion"/>
  </si>
  <si>
    <r>
      <rPr>
        <sz val="10.5"/>
        <rFont val="宋体"/>
        <family val="3"/>
        <charset val="134"/>
      </rPr>
      <t>来源</t>
    </r>
  </si>
  <si>
    <t>EQ2018B23</t>
    <phoneticPr fontId="12" type="noConversion"/>
  </si>
  <si>
    <t>EQ201590</t>
    <phoneticPr fontId="12" type="noConversion"/>
  </si>
  <si>
    <r>
      <rPr>
        <sz val="10.5"/>
        <rFont val="宋体"/>
        <family val="3"/>
        <charset val="134"/>
      </rPr>
      <t>精密度最大值（</t>
    </r>
    <r>
      <rPr>
        <sz val="10.5"/>
        <rFont val="Times New Roman"/>
        <family val="1"/>
      </rPr>
      <t>%CV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</si>
  <si>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准确度（与理论浓度的偏差）（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）范围</t>
    </r>
    <phoneticPr fontId="3" type="noConversion"/>
  </si>
  <si>
    <r>
      <rPr>
        <sz val="10.5"/>
        <color theme="1"/>
        <rFont val="宋体"/>
        <family val="3"/>
        <charset val="134"/>
      </rPr>
      <t>批间准确度和精密度（除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  <phoneticPr fontId="3" type="noConversion"/>
  </si>
  <si>
    <r>
      <rPr>
        <sz val="10.5"/>
        <color theme="1"/>
        <rFont val="宋体"/>
        <family val="3"/>
        <charset val="134"/>
      </rPr>
      <t>批间准确度和精密度（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  <phoneticPr fontId="3" type="noConversion"/>
  </si>
  <si>
    <r>
      <rPr>
        <sz val="10.5"/>
        <color theme="1"/>
        <rFont val="宋体"/>
        <family val="3"/>
        <charset val="134"/>
      </rPr>
      <t>批内准确度和精密度（除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  <phoneticPr fontId="3" type="noConversion"/>
  </si>
  <si>
    <r>
      <rPr>
        <sz val="10.5"/>
        <color theme="1"/>
        <rFont val="宋体"/>
        <family val="3"/>
        <charset val="134"/>
      </rPr>
      <t>批内准确度和精密度（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  <phoneticPr fontId="3" type="noConversion"/>
  </si>
  <si>
    <r>
      <rPr>
        <sz val="10.5"/>
        <color theme="1"/>
        <rFont val="宋体"/>
        <family val="3"/>
        <charset val="134"/>
      </rPr>
      <t>峰面积比</t>
    </r>
    <phoneticPr fontId="3" type="noConversion"/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</si>
  <si>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3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</si>
  <si>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3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</si>
  <si>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3" type="noConversion"/>
  </si>
  <si>
    <t>RESS24225</t>
  </si>
  <si>
    <t>RESS24225-B</t>
  </si>
  <si>
    <r>
      <rPr>
        <sz val="10.5"/>
        <rFont val="宋体"/>
        <family val="3"/>
        <charset val="134"/>
      </rPr>
      <t>是</t>
    </r>
    <phoneticPr fontId="3" type="noConversion"/>
  </si>
  <si>
    <r>
      <rPr>
        <sz val="10.5"/>
        <rFont val="宋体"/>
        <family val="3"/>
        <charset val="134"/>
      </rPr>
      <t>系统适用性，全血稳定性</t>
    </r>
    <phoneticPr fontId="3" type="noConversion"/>
  </si>
  <si>
    <r>
      <rPr>
        <sz val="10.5"/>
        <rFont val="宋体"/>
        <family val="3"/>
        <charset val="134"/>
      </rPr>
      <t>系统适用性，标准曲线及范围，第一批批内准确度和精密度，特异性，稳定性</t>
    </r>
    <r>
      <rPr>
        <sz val="10.5"/>
        <rFont val="Times New Roman"/>
        <family val="1"/>
      </rPr>
      <t>T</t>
    </r>
    <r>
      <rPr>
        <vertAlign val="subscript"/>
        <sz val="10.5"/>
        <rFont val="Times New Roman"/>
        <family val="1"/>
      </rPr>
      <t>0</t>
    </r>
    <r>
      <rPr>
        <sz val="10.5"/>
        <rFont val="宋体"/>
        <family val="3"/>
        <charset val="134"/>
      </rPr>
      <t>，稀释可靠性，残留评价</t>
    </r>
    <phoneticPr fontId="3" type="noConversion"/>
  </si>
  <si>
    <r>
      <rPr>
        <sz val="10.5"/>
        <rFont val="宋体"/>
        <family val="3"/>
        <charset val="134"/>
      </rPr>
      <t>否</t>
    </r>
    <r>
      <rPr>
        <vertAlign val="superscript"/>
        <sz val="10.5"/>
        <rFont val="Times New Roman"/>
        <family val="1"/>
      </rPr>
      <t>1</t>
    </r>
    <phoneticPr fontId="3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</si>
  <si>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3</t>
    </r>
    <phoneticPr fontId="3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</si>
  <si>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：批量样品检测情况列表</t>
    </r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</si>
  <si>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RESS24225</t>
    </r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</si>
  <si>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4</t>
    </r>
    <phoneticPr fontId="3" type="noConversion"/>
  </si>
  <si>
    <r>
      <rPr>
        <sz val="10.5"/>
        <rFont val="宋体"/>
        <family val="3"/>
        <charset val="134"/>
      </rPr>
      <t>平均值</t>
    </r>
    <phoneticPr fontId="3" type="noConversion"/>
  </si>
  <si>
    <r>
      <rPr>
        <sz val="10.5"/>
        <rFont val="宋体"/>
        <family val="3"/>
        <charset val="134"/>
      </rPr>
      <t>样品名称</t>
    </r>
    <phoneticPr fontId="3" type="noConversion"/>
  </si>
  <si>
    <r>
      <rPr>
        <sz val="10.5"/>
        <rFont val="宋体"/>
        <family val="3"/>
        <charset val="134"/>
      </rPr>
      <t>待测物峰面积</t>
    </r>
    <phoneticPr fontId="3" type="noConversion"/>
  </si>
  <si>
    <r>
      <rPr>
        <sz val="10.5"/>
        <rFont val="宋体"/>
        <family val="3"/>
        <charset val="134"/>
      </rPr>
      <t>内标峰面积</t>
    </r>
    <phoneticPr fontId="3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</si>
  <si>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3" type="noConversion"/>
  </si>
  <si>
    <t>LQC</t>
    <phoneticPr fontId="3" type="noConversion"/>
  </si>
  <si>
    <t>HQC</t>
    <phoneticPr fontId="3" type="noConversion"/>
  </si>
  <si>
    <r>
      <t>RESS24225-B</t>
    </r>
    <r>
      <rPr>
        <sz val="10.5"/>
        <rFont val="宋体"/>
        <family val="3"/>
        <charset val="134"/>
      </rPr>
      <t>浓度：</t>
    </r>
    <r>
      <rPr>
        <sz val="10.5"/>
        <rFont val="Times New Roman"/>
        <family val="1"/>
      </rPr>
      <t>3000.000 μg/mL</t>
    </r>
    <phoneticPr fontId="3" type="noConversion"/>
  </si>
  <si>
    <t>0.600 
ng/mL</t>
    <phoneticPr fontId="3" type="noConversion"/>
  </si>
  <si>
    <t>75.000 
ng/mL</t>
    <phoneticPr fontId="3" type="noConversion"/>
  </si>
  <si>
    <r>
      <rPr>
        <sz val="10.5"/>
        <rFont val="宋体"/>
        <family val="3"/>
        <charset val="134"/>
      </rPr>
      <t>系统适用性，标准曲线及范围，处理后样品稳定性</t>
    </r>
    <r>
      <rPr>
        <vertAlign val="superscript"/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（仅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），残留评价</t>
    </r>
    <phoneticPr fontId="3" type="noConversion"/>
  </si>
  <si>
    <t>EQ202170</t>
    <phoneticPr fontId="3" type="noConversion"/>
  </si>
  <si>
    <r>
      <rPr>
        <sz val="10.5"/>
        <rFont val="宋体"/>
        <family val="3"/>
        <charset val="134"/>
      </rPr>
      <t>提取日期</t>
    </r>
    <phoneticPr fontId="3" type="noConversion"/>
  </si>
  <si>
    <r>
      <rPr>
        <sz val="10.5"/>
        <rFont val="宋体"/>
        <family val="3"/>
        <charset val="134"/>
      </rPr>
      <t>设备编号</t>
    </r>
    <phoneticPr fontId="3" type="noConversion"/>
  </si>
  <si>
    <r>
      <rPr>
        <sz val="10.5"/>
        <rFont val="宋体"/>
        <family val="3"/>
        <charset val="134"/>
      </rPr>
      <t>系统适用性，标准曲线及范围，第二批批内准确度和精密度，选择性，基质效应，回收率，溶血效应，残留评价，分析批最大进样针数</t>
    </r>
    <phoneticPr fontId="3" type="noConversion"/>
  </si>
  <si>
    <r>
      <rPr>
        <sz val="10.5"/>
        <rFont val="宋体"/>
        <family val="3"/>
        <charset val="134"/>
      </rPr>
      <t>系统适用性，标准曲线及范围，第三批批内准确度和精密度，样品短期稳定性，样品冻融稳定性，处理后样品稳定性</t>
    </r>
    <r>
      <rPr>
        <vertAlign val="super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，残留评价，分析批最大进样针数（</t>
    </r>
    <r>
      <rPr>
        <sz val="10.5"/>
        <rFont val="Times New Roman"/>
        <family val="1"/>
      </rPr>
      <t>135</t>
    </r>
    <r>
      <rPr>
        <sz val="10.5"/>
        <rFont val="宋体"/>
        <family val="3"/>
        <charset val="134"/>
      </rPr>
      <t>针）</t>
    </r>
    <phoneticPr fontId="3" type="noConversion"/>
  </si>
  <si>
    <r>
      <rPr>
        <sz val="10.5"/>
        <rFont val="宋体"/>
        <family val="3"/>
        <charset val="134"/>
      </rPr>
      <t>系统适用性，标准曲线及范围，第四批批内准确度和精密度，选择性，基质效应，溶血效应，残留评价</t>
    </r>
    <phoneticPr fontId="3" type="noConversion"/>
  </si>
  <si>
    <r>
      <rPr>
        <sz val="10.5"/>
        <rFont val="宋体"/>
        <family val="3"/>
        <charset val="134"/>
      </rPr>
      <t>系统适用性，回收率</t>
    </r>
    <phoneticPr fontId="3" type="noConversion"/>
  </si>
  <si>
    <r>
      <rPr>
        <sz val="10.5"/>
        <rFont val="宋体"/>
        <family val="3"/>
        <charset val="134"/>
      </rPr>
      <t>系统适用性，储备液短期和长期稳定性，工作液短期和长期稳定性</t>
    </r>
    <phoneticPr fontId="3" type="noConversion"/>
  </si>
  <si>
    <r>
      <rPr>
        <sz val="10.5"/>
        <rFont val="宋体"/>
        <family val="3"/>
        <charset val="134"/>
      </rPr>
      <t>系统适用性，标准曲线及范围，样品长期稳定性，残留评价</t>
    </r>
    <phoneticPr fontId="3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</si>
  <si>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6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</si>
  <si>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 xml:space="preserve">1. </t>
    </r>
    <r>
      <rPr>
        <sz val="10.5"/>
        <rFont val="宋体"/>
        <family val="3"/>
        <charset val="134"/>
      </rPr>
      <t>标曲质控样品结果不满足接受标准，拒绝分析批结果，重新考察。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</si>
  <si>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2024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08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27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个分析批中制备。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</si>
  <si>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：仅</t>
    </r>
    <r>
      <rPr>
        <sz val="10.5"/>
        <rFont val="Times New Roman"/>
        <family val="1"/>
      </rPr>
      <t>RESS23225</t>
    </r>
    <r>
      <rPr>
        <sz val="10.5"/>
        <rFont val="宋体"/>
        <family val="3"/>
        <charset val="134"/>
      </rPr>
      <t>质控样品的处理后样品稳定性结果不满足接受标准，缩短放置时间，重新考察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</si>
  <si>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：本分析批无标曲质控样品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</si>
  <si>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2024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09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01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个分析批中制备。</t>
    </r>
    <phoneticPr fontId="3" type="noConversion"/>
  </si>
  <si>
    <r>
      <rPr>
        <sz val="10.5"/>
        <rFont val="宋体"/>
        <family val="3"/>
        <charset val="134"/>
      </rPr>
      <t>系统适用性，标准曲线及范围，样品长期稳定性（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存在下），残留评价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</si>
  <si>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：未对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存在下高浓度质控样品进行稀释，拒绝稳定性结果，重新考察</t>
    </r>
    <phoneticPr fontId="3" type="noConversion"/>
  </si>
  <si>
    <r>
      <rPr>
        <sz val="10.5"/>
        <rFont val="宋体"/>
        <family val="3"/>
        <charset val="134"/>
      </rPr>
      <t>检测日期</t>
    </r>
    <phoneticPr fontId="3" type="noConversion"/>
  </si>
  <si>
    <r>
      <rPr>
        <sz val="10.5"/>
        <rFont val="宋体"/>
        <family val="3"/>
        <charset val="134"/>
      </rPr>
      <t>斜率</t>
    </r>
  </si>
  <si>
    <r>
      <rPr>
        <sz val="10.5"/>
        <rFont val="宋体"/>
        <family val="3"/>
        <charset val="134"/>
      </rPr>
      <t>截距</t>
    </r>
  </si>
  <si>
    <r>
      <t>R</t>
    </r>
    <r>
      <rPr>
        <vertAlign val="superscript"/>
        <sz val="10.5"/>
        <rFont val="Times New Roman"/>
        <family val="1"/>
      </rPr>
      <t>2</t>
    </r>
  </si>
  <si>
    <t>*117.662</t>
  </si>
  <si>
    <r>
      <t>*</t>
    </r>
    <r>
      <rPr>
        <sz val="10.5"/>
        <rFont val="宋体"/>
        <family val="3"/>
        <charset val="134"/>
      </rPr>
      <t>表示不满足接受标准，不参与统计计算</t>
    </r>
    <phoneticPr fontId="3" type="noConversion"/>
  </si>
  <si>
    <t>GMQC</t>
    <phoneticPr fontId="12" type="noConversion"/>
  </si>
  <si>
    <t>DQC</t>
    <phoneticPr fontId="12" type="noConversion"/>
  </si>
  <si>
    <t>#88.656</t>
  </si>
  <si>
    <t>#0.508</t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</si>
  <si>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64</t>
    </r>
    <r>
      <rPr>
        <sz val="10.5"/>
        <rFont val="宋体"/>
        <family val="3"/>
        <charset val="134"/>
      </rPr>
      <t>天</t>
    </r>
    <phoneticPr fontId="3" type="noConversion"/>
  </si>
  <si>
    <r>
      <t>2024/08/28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2024/10/31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3" type="noConversion"/>
  </si>
  <si>
    <t>AQL&gt;(100.000)</t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</si>
  <si>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9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3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</si>
  <si>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78</t>
    </r>
    <r>
      <rPr>
        <sz val="10.5"/>
        <rFont val="宋体"/>
        <family val="3"/>
        <charset val="134"/>
      </rPr>
      <t>天</t>
    </r>
    <phoneticPr fontId="3" type="noConversion"/>
  </si>
  <si>
    <r>
      <t>2024/08/28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2024/11/13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3" type="noConversion"/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</si>
  <si>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10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3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</si>
  <si>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8</t>
    </r>
    <phoneticPr fontId="3" type="noConversion"/>
  </si>
  <si>
    <t>SS24225BV01 ISS Fresh 1</t>
  </si>
  <si>
    <t>SS24225BV01 ISS Fresh 2</t>
  </si>
  <si>
    <t>SS24225BV01 ISS Fresh 3</t>
  </si>
  <si>
    <t>SS24225BV01 ISS Fresh 4</t>
  </si>
  <si>
    <t>SS24225BV01 ISS Fresh 5</t>
  </si>
  <si>
    <t>SS24225BV01 ISS Fresh 6</t>
  </si>
  <si>
    <t>SS24225BV01 ISS ST 1</t>
  </si>
  <si>
    <t>SS24225BV01 ISS ST 2</t>
  </si>
  <si>
    <t>SS24225BV01 ISS ST 3</t>
  </si>
  <si>
    <t>SS24225BV01 ISS ST 4</t>
  </si>
  <si>
    <t>SS24225BV01 ISS ST 5</t>
  </si>
  <si>
    <t>SS24225BV01 ISS ST 6</t>
  </si>
  <si>
    <t>SS24225BV01 ISS LT 1</t>
  </si>
  <si>
    <t>SS24225BV01 ISS LT 2</t>
  </si>
  <si>
    <t>SS24225BV01 ISS LT 3</t>
  </si>
  <si>
    <t>SS24225BV01 ISS LT 4</t>
  </si>
  <si>
    <t>SS24225BV01 ISS LT 5</t>
  </si>
  <si>
    <t>SS24225BV01 ISS LT 6</t>
  </si>
  <si>
    <t>SS24225BV01 WS IS Fresh 1</t>
  </si>
  <si>
    <t>SS24225BV01 WS IS Fresh 2</t>
  </si>
  <si>
    <t>SS24225BV01 WS IS Fresh 3</t>
  </si>
  <si>
    <t>SS24225BV01 WS IS Fresh 4</t>
  </si>
  <si>
    <t>SS24225BV01 WS IS Fresh 5</t>
  </si>
  <si>
    <t>SS24225BV01 WS IS Fresh 6</t>
  </si>
  <si>
    <t>SS24225BV01 WS IS ST 1</t>
  </si>
  <si>
    <t>SS24225BV01 WS IS ST 2</t>
  </si>
  <si>
    <t>SS24225BV01 WS IS ST 3</t>
  </si>
  <si>
    <t>SS24225BV01 WS IS ST 4</t>
  </si>
  <si>
    <t>SS24225BV01 WS IS ST 5</t>
  </si>
  <si>
    <t>SS24225BV01 WS IS ST 6</t>
  </si>
  <si>
    <r>
      <rPr>
        <sz val="10.5"/>
        <rFont val="宋体"/>
        <family val="3"/>
        <charset val="134"/>
      </rPr>
      <t>储存条件：室温黄光</t>
    </r>
    <r>
      <rPr>
        <sz val="10.5"/>
        <rFont val="Times New Roman"/>
        <family val="1"/>
      </rPr>
      <t>23</t>
    </r>
    <r>
      <rPr>
        <sz val="10.5"/>
        <rFont val="宋体"/>
        <family val="3"/>
        <charset val="134"/>
      </rPr>
      <t>小时</t>
    </r>
    <phoneticPr fontId="3" type="noConversion"/>
  </si>
  <si>
    <t>SS24225BV01 WS IS LT 1</t>
  </si>
  <si>
    <t>SS24225BV01 WS IS LT 2</t>
  </si>
  <si>
    <t>SS24225BV01 WS IS LT 3</t>
  </si>
  <si>
    <t>SS24225BV01 WS IS LT 4</t>
  </si>
  <si>
    <t>SS24225BV01 WS IS LT 5</t>
  </si>
  <si>
    <t>SS24225BV01 WS IS LT 6</t>
  </si>
  <si>
    <t>KN-RS-24-0235</t>
  </si>
  <si>
    <t>HM-2010-11B-20240410</t>
  </si>
  <si>
    <t>2025/04/08</t>
    <phoneticPr fontId="3" type="noConversion"/>
  </si>
  <si>
    <t>CPT116</t>
    <phoneticPr fontId="3" type="noConversion"/>
  </si>
  <si>
    <t>KN-RS-24-0306</t>
  </si>
  <si>
    <t>ADC DS20240722</t>
  </si>
  <si>
    <t>2026/07/25</t>
    <phoneticPr fontId="3" type="noConversion"/>
  </si>
  <si>
    <r>
      <t xml:space="preserve">2.1 </t>
    </r>
    <r>
      <rPr>
        <sz val="10.5"/>
        <rFont val="宋体"/>
        <family val="3"/>
        <charset val="134"/>
      </rPr>
      <t>标准品</t>
    </r>
    <phoneticPr fontId="3" type="noConversion"/>
  </si>
  <si>
    <r>
      <t>SIM0686 ADC</t>
    </r>
    <r>
      <rPr>
        <sz val="10.5"/>
        <rFont val="宋体"/>
        <family val="3"/>
        <charset val="134"/>
      </rPr>
      <t>原液</t>
    </r>
    <phoneticPr fontId="3" type="noConversion"/>
  </si>
  <si>
    <r>
      <t>97.2%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QNMR</t>
    </r>
    <r>
      <rPr>
        <sz val="10.5"/>
        <rFont val="宋体"/>
        <family val="3"/>
        <charset val="134"/>
      </rPr>
      <t>）</t>
    </r>
  </si>
  <si>
    <r>
      <t>49.8 mg/mL</t>
    </r>
    <r>
      <rPr>
        <sz val="10.5"/>
        <rFont val="宋体"/>
        <family val="3"/>
        <charset val="134"/>
      </rPr>
      <t>（蛋白含量）</t>
    </r>
  </si>
  <si>
    <r>
      <t>-15 ~ -25ºC</t>
    </r>
    <r>
      <rPr>
        <sz val="10.5"/>
        <rFont val="宋体"/>
        <family val="3"/>
        <charset val="134"/>
      </rPr>
      <t>，避光，密封</t>
    </r>
  </si>
  <si>
    <r>
      <t>-70 ~ -90ºC</t>
    </r>
    <r>
      <rPr>
        <sz val="10.5"/>
        <rFont val="宋体"/>
        <family val="3"/>
        <charset val="134"/>
      </rPr>
      <t>，避光</t>
    </r>
  </si>
  <si>
    <r>
      <rPr>
        <sz val="10.5"/>
        <rFont val="宋体"/>
        <family val="3"/>
        <charset val="134"/>
      </rPr>
      <t>有效期至</t>
    </r>
  </si>
  <si>
    <t>ISSS24225</t>
  </si>
  <si>
    <t>KN-RS-24-0231</t>
  </si>
  <si>
    <t>MedChemExpress</t>
  </si>
  <si>
    <t>Metolazone</t>
    <phoneticPr fontId="3" type="noConversion"/>
  </si>
  <si>
    <t>2026/07/15</t>
    <phoneticPr fontId="3" type="noConversion"/>
  </si>
  <si>
    <r>
      <t xml:space="preserve">2.2 </t>
    </r>
    <r>
      <rPr>
        <sz val="10.5"/>
        <rFont val="宋体"/>
        <family val="3"/>
        <charset val="134"/>
      </rPr>
      <t>内标</t>
    </r>
    <phoneticPr fontId="3" type="noConversion"/>
  </si>
  <si>
    <t>ISSS24225</t>
    <phoneticPr fontId="3" type="noConversion"/>
  </si>
  <si>
    <r>
      <t>RESS24225</t>
    </r>
    <r>
      <rPr>
        <sz val="10.5"/>
        <color rgb="FF00B0F0"/>
        <rFont val="宋体"/>
        <family val="3"/>
        <charset val="134"/>
      </rPr>
      <t/>
    </r>
    <phoneticPr fontId="3" type="noConversion"/>
  </si>
  <si>
    <r>
      <t>SS24225-BA-001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LC-MS/MS</t>
    </r>
    <r>
      <rPr>
        <sz val="10.5"/>
        <rFont val="宋体"/>
        <family val="3"/>
        <charset val="134"/>
      </rPr>
      <t>方法测定</t>
    </r>
    <r>
      <rPr>
        <sz val="10.5"/>
        <rFont val="Times New Roman"/>
        <family val="1"/>
      </rPr>
      <t>SD</t>
    </r>
    <r>
      <rPr>
        <sz val="10.5"/>
        <rFont val="宋体"/>
        <family val="3"/>
        <charset val="134"/>
      </rPr>
      <t>大鼠</t>
    </r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血浆样品中</t>
    </r>
    <r>
      <rPr>
        <sz val="10.5"/>
        <rFont val="Times New Roman"/>
        <family val="1"/>
      </rPr>
      <t>CPT116 (RESS24225)</t>
    </r>
    <r>
      <rPr>
        <sz val="10.5"/>
        <rFont val="宋体"/>
        <family val="3"/>
        <charset val="134"/>
      </rPr>
      <t>的浓度</t>
    </r>
    <phoneticPr fontId="3" type="noConversion"/>
  </si>
  <si>
    <t>Shimadzu</t>
    <phoneticPr fontId="3" type="noConversion"/>
  </si>
  <si>
    <t>LC-30AD</t>
    <phoneticPr fontId="3" type="noConversion"/>
  </si>
  <si>
    <r>
      <t>TRIPLE QUAD</t>
    </r>
    <r>
      <rPr>
        <vertAlign val="superscript"/>
        <sz val="10.5"/>
        <rFont val="Times New Roman"/>
        <family val="1"/>
      </rPr>
      <t>TM</t>
    </r>
    <r>
      <rPr>
        <sz val="10.5"/>
        <rFont val="Times New Roman"/>
        <family val="1"/>
      </rPr>
      <t>7500</t>
    </r>
    <phoneticPr fontId="3" type="noConversion"/>
  </si>
  <si>
    <r>
      <rPr>
        <sz val="10.5"/>
        <rFont val="宋体"/>
        <family val="3"/>
        <charset val="134"/>
      </rPr>
      <t>型号：</t>
    </r>
    <r>
      <rPr>
        <sz val="10.5"/>
        <rFont val="Times New Roman"/>
        <family val="1"/>
      </rPr>
      <t>Kinetex® EVO C18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50×2.1mm, 1.7 μm ,100 Å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</si>
  <si>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A</t>
    </r>
    <r>
      <rPr>
        <sz val="10.5"/>
        <rFont val="宋体"/>
        <family val="3"/>
        <charset val="134"/>
      </rPr>
      <t>：含</t>
    </r>
    <r>
      <rPr>
        <sz val="10.5"/>
        <rFont val="Times New Roman"/>
        <family val="1"/>
      </rPr>
      <t>0.01%</t>
    </r>
    <r>
      <rPr>
        <sz val="10.5"/>
        <rFont val="宋体"/>
        <family val="3"/>
        <charset val="134"/>
      </rPr>
      <t>甲酸的水溶液</t>
    </r>
    <phoneticPr fontId="3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</si>
  <si>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B</t>
    </r>
    <r>
      <rPr>
        <sz val="10.5"/>
        <rFont val="宋体"/>
        <family val="3"/>
        <charset val="134"/>
      </rPr>
      <t>：含</t>
    </r>
    <r>
      <rPr>
        <sz val="10.5"/>
        <rFont val="Times New Roman"/>
        <family val="1"/>
      </rPr>
      <t>0.01%</t>
    </r>
    <r>
      <rPr>
        <sz val="10.5"/>
        <rFont val="宋体"/>
        <family val="3"/>
        <charset val="134"/>
      </rPr>
      <t>甲酸的乙腈溶液</t>
    </r>
    <phoneticPr fontId="3" type="noConversion"/>
  </si>
  <si>
    <t>40.0°C</t>
    <phoneticPr fontId="3" type="noConversion"/>
  </si>
  <si>
    <r>
      <t>SD</t>
    </r>
    <r>
      <rPr>
        <sz val="10.5"/>
        <rFont val="宋体"/>
        <family val="3"/>
        <charset val="134"/>
      </rPr>
      <t>大鼠血浆</t>
    </r>
    <phoneticPr fontId="3" type="noConversion"/>
  </si>
  <si>
    <r>
      <t>EDTA-K</t>
    </r>
    <r>
      <rPr>
        <vertAlign val="subscript"/>
        <sz val="10.5"/>
        <rFont val="Times New Roman"/>
        <family val="1"/>
      </rPr>
      <t>2</t>
    </r>
    <phoneticPr fontId="3" type="noConversion"/>
  </si>
  <si>
    <t>20 μL</t>
    <phoneticPr fontId="3" type="noConversion"/>
  </si>
  <si>
    <r>
      <rPr>
        <sz val="10.5"/>
        <rFont val="宋体"/>
        <family val="3"/>
        <charset val="134"/>
      </rPr>
      <t>用含</t>
    </r>
    <r>
      <rPr>
        <sz val="10.5"/>
        <rFont val="Times New Roman"/>
        <family val="1"/>
      </rPr>
      <t>0.1%</t>
    </r>
    <r>
      <rPr>
        <sz val="10.5"/>
        <rFont val="宋体"/>
        <family val="3"/>
        <charset val="134"/>
      </rPr>
      <t>甲酸的乙腈进行蛋白沉淀</t>
    </r>
    <phoneticPr fontId="3" type="noConversion"/>
  </si>
  <si>
    <t>5 μL</t>
    <phoneticPr fontId="3" type="noConversion"/>
  </si>
  <si>
    <r>
      <t>RESS24225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峰面积与内标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峰面积比</t>
    </r>
    <phoneticPr fontId="3" type="noConversion"/>
  </si>
  <si>
    <r>
      <t>RESS24225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0.200 - 100.000 ng/mL</t>
    </r>
    <r>
      <rPr>
        <sz val="10.5"/>
        <color rgb="FF00B0F0"/>
        <rFont val="宋体"/>
        <family val="3"/>
        <charset val="134"/>
      </rPr>
      <t/>
    </r>
    <phoneticPr fontId="3" type="noConversion"/>
  </si>
  <si>
    <r>
      <t>RESS24225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0.200 ng/mL</t>
    </r>
    <r>
      <rPr>
        <sz val="10.5"/>
        <color rgb="FF00B0F0"/>
        <rFont val="宋体"/>
        <family val="3"/>
        <charset val="134"/>
      </rPr>
      <t/>
    </r>
    <phoneticPr fontId="3" type="noConversion"/>
  </si>
  <si>
    <r>
      <t>RESS24225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0.600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5.000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50.000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75.000 ng/mL</t>
    </r>
    <r>
      <rPr>
        <sz val="10.5"/>
        <color rgb="FF00B0F0"/>
        <rFont val="宋体"/>
        <family val="3"/>
        <charset val="134"/>
      </rPr>
      <t/>
    </r>
    <phoneticPr fontId="3" type="noConversion"/>
  </si>
  <si>
    <r>
      <rPr>
        <sz val="10.5"/>
        <rFont val="宋体"/>
        <family val="3"/>
        <charset val="134"/>
      </rPr>
      <t>空白血浆中内源性组份对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和内标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的干扰符合接受标准</t>
    </r>
    <phoneticPr fontId="3" type="noConversion"/>
  </si>
  <si>
    <r>
      <rPr>
        <sz val="10.5"/>
        <rFont val="宋体"/>
        <family val="3"/>
        <charset val="134"/>
      </rPr>
      <t>基质效应</t>
    </r>
    <phoneticPr fontId="3" type="noConversion"/>
  </si>
  <si>
    <r>
      <t>RESS24225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0.600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106.2%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3.3%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50.000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99.8%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4.5%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75.000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100.4%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2.2%</t>
    </r>
    <r>
      <rPr>
        <sz val="10.5"/>
        <rFont val="宋体"/>
        <family val="3"/>
        <charset val="134"/>
      </rPr>
      <t>；</t>
    </r>
    <r>
      <rPr>
        <sz val="10.5"/>
        <rFont val="Times New Roman"/>
        <family val="1"/>
      </rPr>
      <t xml:space="preserve">  </t>
    </r>
    <r>
      <rPr>
        <sz val="10.5"/>
        <rFont val="宋体"/>
        <family val="3"/>
        <charset val="134"/>
      </rPr>
      <t>总体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3.5%</t>
    </r>
    <r>
      <rPr>
        <sz val="10.5"/>
        <rFont val="宋体"/>
        <family val="3"/>
        <charset val="134"/>
      </rPr>
      <t>。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</si>
  <si>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以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计，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平均回收率为</t>
    </r>
    <r>
      <rPr>
        <sz val="10.5"/>
        <rFont val="Times New Roman"/>
        <family val="1"/>
      </rPr>
      <t>100.6%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 xml:space="preserve">2.7% </t>
    </r>
    <phoneticPr fontId="3" type="noConversion"/>
  </si>
  <si>
    <r>
      <t>500.000 ng/mL</t>
    </r>
    <r>
      <rPr>
        <sz val="10.5"/>
        <rFont val="宋体"/>
        <family val="3"/>
        <charset val="134"/>
      </rPr>
      <t>稀释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>倍；</t>
    </r>
    <phoneticPr fontId="3" type="noConversion"/>
  </si>
  <si>
    <r>
      <t>RESS24225</t>
    </r>
    <r>
      <rPr>
        <sz val="10.5"/>
        <rFont val="宋体"/>
        <family val="3"/>
        <charset val="134"/>
      </rPr>
      <t>：室温黄光条件下放置可稳定至少</t>
    </r>
    <r>
      <rPr>
        <sz val="10.5"/>
        <rFont val="Times New Roman"/>
        <family val="1"/>
      </rPr>
      <t>23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：室温黄光条件下放置可稳定至少</t>
    </r>
    <r>
      <rPr>
        <sz val="10.5"/>
        <rFont val="Times New Roman"/>
        <family val="1"/>
      </rPr>
      <t>23</t>
    </r>
    <r>
      <rPr>
        <sz val="10.5"/>
        <rFont val="宋体"/>
        <family val="3"/>
        <charset val="134"/>
      </rPr>
      <t>小时</t>
    </r>
    <phoneticPr fontId="3" type="noConversion"/>
  </si>
  <si>
    <r>
      <t>RESS24225</t>
    </r>
    <r>
      <rPr>
        <sz val="10.5"/>
        <rFont val="宋体"/>
        <family val="3"/>
        <charset val="134"/>
      </rPr>
      <t>：在自动进样器（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℃）条件下可稳定保存至少</t>
    </r>
    <r>
      <rPr>
        <sz val="10.5"/>
        <rFont val="Times New Roman"/>
        <family val="1"/>
      </rPr>
      <t>76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存在下）：在自动进样器（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℃）条件下可稳定保存至少</t>
    </r>
    <r>
      <rPr>
        <sz val="10.5"/>
        <rFont val="Times New Roman"/>
        <family val="1"/>
      </rPr>
      <t>81</t>
    </r>
    <r>
      <rPr>
        <sz val="10.5"/>
        <rFont val="宋体"/>
        <family val="3"/>
        <charset val="134"/>
      </rPr>
      <t>小时</t>
    </r>
    <phoneticPr fontId="3" type="noConversion"/>
  </si>
  <si>
    <r>
      <t>RESS24225</t>
    </r>
    <r>
      <rPr>
        <sz val="10.5"/>
        <rFont val="宋体"/>
        <family val="3"/>
        <charset val="134"/>
      </rPr>
      <t>：至少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次</t>
    </r>
    <r>
      <rPr>
        <sz val="10.5"/>
        <rFont val="Times New Roman"/>
        <family val="1"/>
      </rPr>
      <t xml:space="preserve">-70~-90 </t>
    </r>
    <r>
      <rPr>
        <sz val="10.5"/>
        <rFont val="宋体"/>
        <family val="3"/>
        <charset val="134"/>
      </rPr>
      <t>℃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 xml:space="preserve">冰浴黄光冷冻解冻稳定；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存在下）：至少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次</t>
    </r>
    <r>
      <rPr>
        <sz val="10.5"/>
        <rFont val="Times New Roman"/>
        <family val="1"/>
      </rPr>
      <t xml:space="preserve">-70~-90 </t>
    </r>
    <r>
      <rPr>
        <sz val="10.5"/>
        <rFont val="宋体"/>
        <family val="3"/>
        <charset val="134"/>
      </rPr>
      <t>℃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冰浴黄光冷冻解冻稳定</t>
    </r>
    <phoneticPr fontId="3" type="noConversion"/>
  </si>
  <si>
    <r>
      <t>RESS24225</t>
    </r>
    <r>
      <rPr>
        <sz val="10.5"/>
        <rFont val="宋体"/>
        <family val="3"/>
        <charset val="134"/>
      </rPr>
      <t>：全血样品在冰浴黄光下放置至少稳定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小时，离心后不立即移取血浆，将离心后的样品于冰浴黄光放置至少稳定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 xml:space="preserve">分钟；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存在下）：全血样品在冰浴黄光下放置至少稳定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小时，离心后不立即移取血浆，将离心后的样品于冰浴黄光放置至少稳定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分钟</t>
    </r>
    <phoneticPr fontId="3" type="noConversion"/>
  </si>
  <si>
    <t>-3.2 ~ 9.0</t>
    <phoneticPr fontId="3" type="noConversion"/>
  </si>
  <si>
    <t>0.3 ~ 4.2</t>
    <phoneticPr fontId="3" type="noConversion"/>
  </si>
  <si>
    <t>-6.0 ~ 5.0</t>
    <phoneticPr fontId="3" type="noConversion"/>
  </si>
  <si>
    <r>
      <t>RESS24225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66</t>
    </r>
    <r>
      <rPr>
        <sz val="10.5"/>
        <rFont val="宋体"/>
        <family val="3"/>
        <charset val="134"/>
      </rPr>
      <t xml:space="preserve">天；
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66</t>
    </r>
    <r>
      <rPr>
        <sz val="10.5"/>
        <rFont val="宋体"/>
        <family val="3"/>
        <charset val="134"/>
      </rPr>
      <t>天</t>
    </r>
    <phoneticPr fontId="3" type="noConversion"/>
  </si>
  <si>
    <r>
      <rPr>
        <sz val="10.5"/>
        <rFont val="宋体"/>
        <family val="3"/>
        <charset val="134"/>
      </rPr>
      <t>序列号：</t>
    </r>
    <r>
      <rPr>
        <sz val="10.5"/>
        <rFont val="Times New Roman"/>
        <family val="1"/>
      </rPr>
      <t>H17-410714</t>
    </r>
    <phoneticPr fontId="3" type="noConversion"/>
  </si>
  <si>
    <t>PBS</t>
    <phoneticPr fontId="12" type="noConversion"/>
  </si>
  <si>
    <t>CORNING</t>
    <phoneticPr fontId="12" type="noConversion"/>
  </si>
  <si>
    <t>NA</t>
    <phoneticPr fontId="12" type="noConversion"/>
  </si>
  <si>
    <t>AEBSF</t>
    <phoneticPr fontId="12" type="noConversion"/>
  </si>
  <si>
    <t>NA</t>
    <phoneticPr fontId="12" type="noConversion"/>
  </si>
  <si>
    <t>KN-BM-24-459</t>
    <phoneticPr fontId="12" type="noConversion"/>
  </si>
  <si>
    <t>KN-BM-24-646</t>
    <phoneticPr fontId="12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</si>
  <si>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</t>
    </r>
    <r>
      <rPr>
        <sz val="10.5"/>
        <rFont val="Times New Roman"/>
        <family val="1"/>
      </rPr>
      <t>66</t>
    </r>
    <r>
      <rPr>
        <sz val="10.5"/>
        <rFont val="宋体"/>
        <family val="3"/>
        <charset val="134"/>
      </rPr>
      <t>天</t>
    </r>
    <phoneticPr fontId="3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</si>
  <si>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3" type="noConversion"/>
  </si>
  <si>
    <t>KN-BM-24-442</t>
    <phoneticPr fontId="12" type="noConversion"/>
  </si>
  <si>
    <t>2024/08/26</t>
    <phoneticPr fontId="12" type="noConversion"/>
  </si>
  <si>
    <t>2024/08/21</t>
    <phoneticPr fontId="12" type="noConversion"/>
  </si>
  <si>
    <t>2024/11/07</t>
    <phoneticPr fontId="12" type="noConversion"/>
  </si>
  <si>
    <r>
      <t>RESS24225</t>
    </r>
    <r>
      <rPr>
        <sz val="10.5"/>
        <rFont val="宋体"/>
        <family val="3"/>
        <charset val="134"/>
      </rPr>
      <t>：待测物保留时间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≤</t>
    </r>
    <r>
      <rPr>
        <sz val="10.5"/>
        <rFont val="Times New Roman"/>
        <family val="1"/>
      </rPr>
      <t xml:space="preserve"> 0.8%</t>
    </r>
    <r>
      <rPr>
        <sz val="10.5"/>
        <rFont val="宋体"/>
        <family val="3"/>
        <charset val="134"/>
      </rPr>
      <t>；内标保留时间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≤</t>
    </r>
    <r>
      <rPr>
        <sz val="10.5"/>
        <rFont val="Times New Roman"/>
        <family val="1"/>
      </rPr>
      <t xml:space="preserve"> 0.7%</t>
    </r>
    <r>
      <rPr>
        <sz val="10.5"/>
        <rFont val="宋体"/>
        <family val="3"/>
        <charset val="134"/>
      </rPr>
      <t>；面积比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≤</t>
    </r>
    <r>
      <rPr>
        <sz val="10.5"/>
        <rFont val="Times New Roman"/>
        <family val="1"/>
      </rPr>
      <t xml:space="preserve"> 9.1%</t>
    </r>
    <phoneticPr fontId="3" type="noConversion"/>
  </si>
  <si>
    <r>
      <rPr>
        <sz val="10.5"/>
        <rFont val="宋体"/>
        <family val="3"/>
        <charset val="134"/>
      </rPr>
      <t>待测物残留≤</t>
    </r>
    <r>
      <rPr>
        <sz val="10.5"/>
        <rFont val="Times New Roman"/>
        <family val="1"/>
      </rPr>
      <t xml:space="preserve"> 0.0%</t>
    </r>
    <phoneticPr fontId="3" type="noConversion"/>
  </si>
  <si>
    <r>
      <rPr>
        <sz val="10.5"/>
        <rFont val="宋体"/>
        <family val="3"/>
        <charset val="134"/>
      </rPr>
      <t>内标残留≤</t>
    </r>
    <r>
      <rPr>
        <sz val="10.5"/>
        <rFont val="Times New Roman"/>
        <family val="1"/>
      </rPr>
      <t xml:space="preserve"> 0.1%</t>
    </r>
    <phoneticPr fontId="3" type="noConversion"/>
  </si>
  <si>
    <t>*0.272</t>
  </si>
  <si>
    <t>*0.513</t>
  </si>
  <si>
    <t>*1.322</t>
  </si>
  <si>
    <t>*6.474</t>
  </si>
  <si>
    <t>*24.846</t>
  </si>
  <si>
    <t>*48.999</t>
  </si>
  <si>
    <t>*123.337</t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</si>
  <si>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14</t>
    </r>
    <r>
      <rPr>
        <sz val="10.5"/>
        <rFont val="宋体"/>
        <family val="3"/>
        <charset val="134"/>
      </rPr>
      <t>：储备液短期稳定性</t>
    </r>
  </si>
  <si>
    <r>
      <rPr>
        <sz val="10.5"/>
        <rFont val="宋体"/>
        <family val="3"/>
        <charset val="134"/>
      </rPr>
      <t>理论浓度（单位）</t>
    </r>
  </si>
  <si>
    <r>
      <t>CV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%)</t>
    </r>
  </si>
  <si>
    <r>
      <rPr>
        <sz val="10.5"/>
        <rFont val="宋体"/>
        <family val="3"/>
        <charset val="134"/>
      </rPr>
      <t>差异</t>
    </r>
    <r>
      <rPr>
        <sz val="10.5"/>
        <rFont val="Times New Roman"/>
        <family val="1"/>
      </rPr>
      <t xml:space="preserve"> (%)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</si>
  <si>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21</t>
    </r>
    <r>
      <rPr>
        <sz val="10.5"/>
        <rFont val="宋体"/>
        <family val="3"/>
        <charset val="134"/>
      </rPr>
      <t>：生物基质中待测物的长期稳定性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</si>
  <si>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 xml:space="preserve"> (%)</t>
    </r>
  </si>
  <si>
    <r>
      <t>CV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</si>
  <si>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准确度（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</si>
  <si>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t>RESS24225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</t>
    </r>
    <phoneticPr fontId="3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</si>
  <si>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64</t>
    </r>
    <r>
      <rPr>
        <sz val="10.5"/>
        <rFont val="宋体"/>
        <family val="3"/>
        <charset val="134"/>
      </rPr>
      <t>天</t>
    </r>
  </si>
  <si>
    <r>
      <rPr>
        <sz val="10.5"/>
        <rFont val="宋体"/>
        <family val="3"/>
        <charset val="134"/>
      </rPr>
      <t>浓度（</t>
    </r>
    <r>
      <rPr>
        <sz val="10.5"/>
        <rFont val="Times New Roman"/>
        <family val="1"/>
      </rPr>
      <t>ng/mL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</si>
  <si>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差异（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</si>
  <si>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17 </t>
    </r>
    <r>
      <rPr>
        <sz val="10.5"/>
        <rFont val="宋体"/>
        <family val="3"/>
        <charset val="134"/>
      </rPr>
      <t>：工作液长期稳定性（</t>
    </r>
    <r>
      <rPr>
        <sz val="10.5"/>
        <rFont val="Times New Roman"/>
        <family val="1"/>
      </rPr>
      <t>ULOQ, LLOQ</t>
    </r>
    <r>
      <rPr>
        <sz val="10.5"/>
        <rFont val="宋体"/>
        <family val="3"/>
        <charset val="134"/>
      </rPr>
      <t>和内标工作液稳定性）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</si>
  <si>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16 </t>
    </r>
    <r>
      <rPr>
        <sz val="10.5"/>
        <rFont val="宋体"/>
        <family val="3"/>
        <charset val="134"/>
      </rPr>
      <t>：储备液长期稳定性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</si>
  <si>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：工作液短期稳定性（</t>
    </r>
    <r>
      <rPr>
        <sz val="10.5"/>
        <rFont val="Times New Roman"/>
        <family val="1"/>
      </rPr>
      <t>ULOQ,LLOQ</t>
    </r>
    <r>
      <rPr>
        <sz val="10.5"/>
        <rFont val="宋体"/>
        <family val="3"/>
        <charset val="134"/>
      </rPr>
      <t>和内标工作液稳定性）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</si>
  <si>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10</t>
    </r>
    <r>
      <rPr>
        <sz val="10.5"/>
        <rFont val="宋体"/>
        <family val="3"/>
        <charset val="134"/>
      </rPr>
      <t>：质控样品浓度数据汇总（除准确度精密度分析批外）</t>
    </r>
  </si>
  <si>
    <r>
      <rPr>
        <sz val="10.5"/>
        <rFont val="宋体"/>
        <family val="3"/>
        <charset val="134"/>
      </rPr>
      <t>准确度偏差（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</si>
  <si>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8</t>
    </r>
    <r>
      <rPr>
        <sz val="10.5"/>
        <rFont val="宋体"/>
        <family val="3"/>
        <charset val="134"/>
      </rPr>
      <t>：标准曲线的回算浓度</t>
    </r>
  </si>
  <si>
    <r>
      <rPr>
        <sz val="10.5"/>
        <rFont val="宋体"/>
        <family val="3"/>
        <charset val="134"/>
      </rPr>
      <t>接受批：</t>
    </r>
    <phoneticPr fontId="3" type="noConversion"/>
  </si>
  <si>
    <r>
      <rPr>
        <sz val="10.5"/>
        <rFont val="宋体"/>
        <family val="3"/>
        <charset val="134"/>
      </rPr>
      <t>拒绝批：</t>
    </r>
    <phoneticPr fontId="3" type="noConversion"/>
  </si>
  <si>
    <r>
      <rPr>
        <sz val="10.5"/>
        <rFont val="宋体"/>
        <family val="3"/>
        <charset val="134"/>
      </rPr>
      <t>失败原因见表</t>
    </r>
    <r>
      <rPr>
        <sz val="10.5"/>
        <rFont val="Times New Roman"/>
        <family val="1"/>
      </rPr>
      <t>1</t>
    </r>
    <phoneticPr fontId="3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</si>
  <si>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7</t>
    </r>
    <r>
      <rPr>
        <sz val="10.5"/>
        <rFont val="宋体"/>
        <family val="3"/>
        <charset val="134"/>
      </rPr>
      <t>：标准曲线参数汇总</t>
    </r>
  </si>
  <si>
    <r>
      <t>LLOQ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ng/mL</t>
    </r>
    <r>
      <rPr>
        <sz val="10.5"/>
        <rFont val="宋体"/>
        <family val="3"/>
        <charset val="134"/>
      </rPr>
      <t>）</t>
    </r>
  </si>
  <si>
    <r>
      <t>ULOQ
(ng/mL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</si>
  <si>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拟合方程：峰面积比</t>
    </r>
    <r>
      <rPr>
        <sz val="10.5"/>
        <rFont val="Times New Roman"/>
        <family val="1"/>
      </rPr>
      <t xml:space="preserve">= </t>
    </r>
    <r>
      <rPr>
        <sz val="10.5"/>
        <rFont val="宋体"/>
        <family val="3"/>
        <charset val="134"/>
      </rPr>
      <t>斜率</t>
    </r>
    <r>
      <rPr>
        <sz val="10.5"/>
        <rFont val="Times New Roman"/>
        <family val="1"/>
      </rPr>
      <t xml:space="preserve"> ×</t>
    </r>
    <r>
      <rPr>
        <sz val="10.5"/>
        <rFont val="宋体"/>
        <family val="3"/>
        <charset val="134"/>
      </rPr>
      <t>浓度</t>
    </r>
    <r>
      <rPr>
        <sz val="10.5"/>
        <rFont val="Times New Roman"/>
        <family val="1"/>
      </rPr>
      <t xml:space="preserve"> + </t>
    </r>
    <r>
      <rPr>
        <sz val="10.5"/>
        <rFont val="宋体"/>
        <family val="3"/>
        <charset val="134"/>
      </rPr>
      <t>截距，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权重：</t>
    </r>
    <r>
      <rPr>
        <sz val="10.5"/>
        <rFont val="Times New Roman"/>
        <family val="1"/>
      </rPr>
      <t>1/</t>
    </r>
    <r>
      <rPr>
        <sz val="10.5"/>
        <rFont val="宋体"/>
        <family val="3"/>
        <charset val="134"/>
      </rPr>
      <t>（浓度</t>
    </r>
    <r>
      <rPr>
        <sz val="10.5"/>
        <rFont val="Times New Roman"/>
        <family val="1"/>
      </rPr>
      <t>×</t>
    </r>
    <r>
      <rPr>
        <sz val="10.5"/>
        <rFont val="宋体"/>
        <family val="3"/>
        <charset val="134"/>
      </rPr>
      <t>浓度）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</si>
  <si>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3 </t>
    </r>
    <r>
      <rPr>
        <sz val="10.5"/>
        <rFont val="宋体"/>
        <family val="3"/>
        <charset val="134"/>
      </rPr>
      <t>：批量样品检测过程的残留</t>
    </r>
  </si>
  <si>
    <r>
      <rPr>
        <sz val="10.5"/>
        <rFont val="宋体"/>
        <family val="3"/>
        <charset val="134"/>
      </rPr>
      <t>待测物残留率（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</si>
  <si>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内标残留率（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</si>
  <si>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2 </t>
    </r>
    <r>
      <rPr>
        <sz val="10.5"/>
        <rFont val="宋体"/>
        <family val="3"/>
        <charset val="134"/>
      </rPr>
      <t>：系统适用性</t>
    </r>
  </si>
  <si>
    <r>
      <t xml:space="preserve">2.9 </t>
    </r>
    <r>
      <rPr>
        <sz val="10.5"/>
        <color theme="1"/>
        <rFont val="宋体"/>
        <family val="3"/>
        <charset val="134"/>
      </rPr>
      <t>标准曲线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质控样品的配制</t>
    </r>
    <phoneticPr fontId="12" type="noConversion"/>
  </si>
  <si>
    <r>
      <t xml:space="preserve">2.5 </t>
    </r>
    <r>
      <rPr>
        <sz val="10.5"/>
        <color theme="1"/>
        <rFont val="宋体"/>
        <family val="3"/>
        <charset val="134"/>
      </rPr>
      <t>试剂</t>
    </r>
    <phoneticPr fontId="12" type="noConversion"/>
  </si>
  <si>
    <r>
      <rPr>
        <sz val="10.5"/>
        <color rgb="FF000000"/>
        <rFont val="宋体"/>
        <family val="3"/>
        <charset val="134"/>
      </rPr>
      <t>试剂</t>
    </r>
  </si>
  <si>
    <r>
      <rPr>
        <sz val="10.5"/>
        <color rgb="FF000000"/>
        <rFont val="宋体"/>
        <family val="3"/>
        <charset val="134"/>
      </rPr>
      <t>供应商</t>
    </r>
  </si>
  <si>
    <r>
      <rPr>
        <sz val="10.5"/>
        <color theme="1"/>
        <rFont val="宋体"/>
        <family val="3"/>
        <charset val="134"/>
      </rPr>
      <t>级别</t>
    </r>
    <phoneticPr fontId="12" type="noConversion"/>
  </si>
  <si>
    <r>
      <rPr>
        <sz val="10.5"/>
        <rFont val="宋体"/>
        <family val="3"/>
        <charset val="134"/>
      </rPr>
      <t>乙腈</t>
    </r>
  </si>
  <si>
    <r>
      <rPr>
        <sz val="10.5"/>
        <rFont val="宋体"/>
        <family val="3"/>
        <charset val="134"/>
      </rPr>
      <t>液相色谱纯</t>
    </r>
    <phoneticPr fontId="12" type="noConversion"/>
  </si>
  <si>
    <r>
      <rPr>
        <sz val="10.5"/>
        <rFont val="宋体"/>
        <family val="3"/>
        <charset val="134"/>
      </rPr>
      <t>甲醇</t>
    </r>
  </si>
  <si>
    <r>
      <rPr>
        <sz val="10.5"/>
        <rFont val="宋体"/>
        <family val="3"/>
        <charset val="134"/>
      </rPr>
      <t>异丙醇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</si>
  <si>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甲酸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</si>
  <si>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二甲基亚砜</t>
    </r>
    <r>
      <rPr>
        <sz val="10.5"/>
        <rFont val="Times New Roman"/>
        <family val="1"/>
      </rPr>
      <t xml:space="preserve">  </t>
    </r>
  </si>
  <si>
    <r>
      <rPr>
        <sz val="10.5"/>
        <rFont val="宋体"/>
        <family val="3"/>
        <charset val="134"/>
      </rPr>
      <t>纯度</t>
    </r>
    <phoneticPr fontId="3" type="noConversion"/>
  </si>
  <si>
    <r>
      <rPr>
        <sz val="10.5"/>
        <rFont val="宋体"/>
        <family val="3"/>
        <charset val="134"/>
      </rPr>
      <t>上海皓元医药股份有限公司</t>
    </r>
  </si>
  <si>
    <r>
      <rPr>
        <sz val="10.5"/>
        <rFont val="宋体"/>
        <family val="3"/>
        <charset val="134"/>
      </rPr>
      <t>先声生物医药科技有限公司</t>
    </r>
  </si>
  <si>
    <r>
      <rPr>
        <sz val="10.5"/>
        <rFont val="宋体"/>
        <family val="3"/>
        <charset val="134"/>
      </rPr>
      <t>分析方法</t>
    </r>
  </si>
  <si>
    <r>
      <rPr>
        <sz val="10.5"/>
        <rFont val="宋体"/>
        <family val="3"/>
        <charset val="134"/>
      </rPr>
      <t>设备名称</t>
    </r>
  </si>
  <si>
    <r>
      <rPr>
        <sz val="10.5"/>
        <rFont val="宋体"/>
        <family val="3"/>
        <charset val="134"/>
      </rPr>
      <t>制造商</t>
    </r>
  </si>
  <si>
    <r>
      <rPr>
        <sz val="10.5"/>
        <rFont val="宋体"/>
        <family val="3"/>
        <charset val="134"/>
      </rPr>
      <t>型号</t>
    </r>
  </si>
  <si>
    <r>
      <rPr>
        <sz val="10.5"/>
        <rFont val="宋体"/>
        <family val="3"/>
        <charset val="134"/>
      </rPr>
      <t>高效液相色谱</t>
    </r>
  </si>
  <si>
    <r>
      <rPr>
        <sz val="10.5"/>
        <rFont val="宋体"/>
        <family val="3"/>
        <charset val="134"/>
      </rPr>
      <t>离子源</t>
    </r>
  </si>
  <si>
    <r>
      <t>Turbo-V</t>
    </r>
    <r>
      <rPr>
        <sz val="10.5"/>
        <rFont val="宋体"/>
        <family val="3"/>
        <charset val="134"/>
      </rPr>
      <t>电喷雾离子源</t>
    </r>
  </si>
  <si>
    <r>
      <rPr>
        <sz val="10.5"/>
        <rFont val="宋体"/>
        <family val="3"/>
        <charset val="134"/>
      </rPr>
      <t>检测器</t>
    </r>
    <r>
      <rPr>
        <sz val="10.5"/>
        <rFont val="Times New Roman"/>
        <family val="1"/>
      </rPr>
      <t>-</t>
    </r>
    <r>
      <rPr>
        <sz val="10.5"/>
        <rFont val="宋体"/>
        <family val="3"/>
        <charset val="134"/>
      </rPr>
      <t>串联质谱</t>
    </r>
  </si>
  <si>
    <r>
      <rPr>
        <sz val="10.5"/>
        <rFont val="宋体"/>
        <family val="3"/>
        <charset val="134"/>
      </rPr>
      <t>数据采集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管理软件</t>
    </r>
    <phoneticPr fontId="3" type="noConversion"/>
  </si>
  <si>
    <r>
      <t>SCIEX OS</t>
    </r>
    <r>
      <rPr>
        <sz val="10.5"/>
        <rFont val="宋体"/>
        <family val="3"/>
        <charset val="134"/>
      </rPr>
      <t>数据采集软件（版本</t>
    </r>
    <r>
      <rPr>
        <sz val="10.5"/>
        <rFont val="Times New Roman"/>
        <family val="1"/>
      </rPr>
      <t>2.1.6</t>
    </r>
    <r>
      <rPr>
        <sz val="10.5"/>
        <rFont val="宋体"/>
        <family val="3"/>
        <charset val="134"/>
      </rPr>
      <t>），</t>
    </r>
    <r>
      <rPr>
        <sz val="10.5"/>
        <rFont val="Times New Roman"/>
        <family val="1"/>
      </rPr>
      <t>Watson LIMS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7.4.2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</si>
  <si>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离子化方式</t>
    </r>
  </si>
  <si>
    <r>
      <rPr>
        <sz val="10.5"/>
        <rFont val="宋体"/>
        <family val="3"/>
        <charset val="134"/>
      </rPr>
      <t>电喷雾离子化正离子模式</t>
    </r>
  </si>
  <si>
    <r>
      <rPr>
        <sz val="10.5"/>
        <rFont val="宋体"/>
        <family val="3"/>
        <charset val="134"/>
      </rPr>
      <t>扫描方式</t>
    </r>
  </si>
  <si>
    <r>
      <rPr>
        <sz val="10.5"/>
        <rFont val="宋体"/>
        <family val="3"/>
        <charset val="134"/>
      </rPr>
      <t>多反应监测</t>
    </r>
  </si>
  <si>
    <r>
      <rPr>
        <sz val="10.5"/>
        <rFont val="宋体"/>
        <family val="3"/>
        <charset val="134"/>
      </rPr>
      <t>流动相及流速</t>
    </r>
  </si>
  <si>
    <r>
      <rPr>
        <sz val="10.5"/>
        <rFont val="宋体"/>
        <family val="3"/>
        <charset val="134"/>
      </rPr>
      <t>流速：</t>
    </r>
    <r>
      <rPr>
        <sz val="10.5"/>
        <rFont val="Times New Roman"/>
        <family val="1"/>
      </rPr>
      <t>0.6 mL/min</t>
    </r>
  </si>
  <si>
    <r>
      <rPr>
        <sz val="10.5"/>
        <rFont val="宋体"/>
        <family val="3"/>
        <charset val="134"/>
      </rPr>
      <t>柱温</t>
    </r>
  </si>
  <si>
    <r>
      <rPr>
        <sz val="10.5"/>
        <rFont val="宋体"/>
        <family val="3"/>
        <charset val="134"/>
      </rPr>
      <t>样品的生物基质</t>
    </r>
  </si>
  <si>
    <r>
      <rPr>
        <sz val="10.5"/>
        <rFont val="宋体"/>
        <family val="3"/>
        <charset val="134"/>
      </rPr>
      <t>抗凝剂</t>
    </r>
  </si>
  <si>
    <r>
      <rPr>
        <sz val="10.5"/>
        <rFont val="宋体"/>
        <family val="3"/>
        <charset val="134"/>
      </rPr>
      <t>生物基质来源</t>
    </r>
  </si>
  <si>
    <r>
      <rPr>
        <sz val="10.5"/>
        <rFont val="宋体"/>
        <family val="3"/>
        <charset val="134"/>
      </rPr>
      <t>上海益诺思生物技术股份有限公司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斯贝福（北京）生物技术有限公司</t>
    </r>
    <phoneticPr fontId="3" type="noConversion"/>
  </si>
  <si>
    <r>
      <rPr>
        <sz val="10.5"/>
        <rFont val="宋体"/>
        <family val="3"/>
        <charset val="134"/>
      </rPr>
      <t>样品预处理方法</t>
    </r>
  </si>
  <si>
    <r>
      <rPr>
        <sz val="10.5"/>
        <rFont val="宋体"/>
        <family val="3"/>
        <charset val="134"/>
      </rPr>
      <t>进样量</t>
    </r>
  </si>
  <si>
    <r>
      <rPr>
        <sz val="10.5"/>
        <rFont val="宋体"/>
        <family val="3"/>
        <charset val="134"/>
      </rPr>
      <t>定量指标</t>
    </r>
  </si>
  <si>
    <r>
      <rPr>
        <sz val="10.5"/>
        <rFont val="宋体"/>
        <family val="3"/>
        <charset val="134"/>
      </rPr>
      <t>回归方程</t>
    </r>
  </si>
  <si>
    <r>
      <rPr>
        <sz val="10.5"/>
        <rFont val="宋体"/>
        <family val="3"/>
        <charset val="134"/>
      </rPr>
      <t>权重系数</t>
    </r>
  </si>
  <si>
    <r>
      <t>1/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x*x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</si>
  <si>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线性范围</t>
    </r>
  </si>
  <si>
    <r>
      <rPr>
        <sz val="10.5"/>
        <rFont val="宋体"/>
        <family val="3"/>
        <charset val="134"/>
      </rPr>
      <t>最低定量限（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</si>
  <si>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最低质控浓度（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</si>
  <si>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质控浓度（</t>
    </r>
    <r>
      <rPr>
        <sz val="10.5"/>
        <rFont val="Times New Roman"/>
        <family val="1"/>
      </rPr>
      <t>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</si>
  <si>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待测物与内标间干扰符合接受标准</t>
    </r>
    <phoneticPr fontId="3" type="noConversion"/>
  </si>
  <si>
    <r>
      <rPr>
        <sz val="10.5"/>
        <rFont val="宋体"/>
        <family val="3"/>
        <charset val="134"/>
      </rPr>
      <t>基质效应符合接受标准</t>
    </r>
    <phoneticPr fontId="3" type="noConversion"/>
  </si>
  <si>
    <r>
      <rPr>
        <sz val="10.5"/>
        <rFont val="宋体"/>
        <family val="3"/>
        <charset val="134"/>
      </rPr>
      <t>准确度和精密度</t>
    </r>
    <phoneticPr fontId="3" type="noConversion"/>
  </si>
  <si>
    <r>
      <rPr>
        <sz val="10.5"/>
        <rFont val="宋体"/>
        <family val="3"/>
        <charset val="134"/>
      </rPr>
      <t>处理后样品的稳定性</t>
    </r>
    <r>
      <rPr>
        <sz val="10.5"/>
        <rFont val="Times New Roman"/>
        <family val="1"/>
      </rPr>
      <t xml:space="preserve"> </t>
    </r>
    <phoneticPr fontId="3" type="noConversion"/>
  </si>
  <si>
    <r>
      <t>RESS24225</t>
    </r>
    <r>
      <rPr>
        <sz val="10.5"/>
        <rFont val="宋体"/>
        <family val="3"/>
        <charset val="134"/>
      </rPr>
      <t>：在</t>
    </r>
    <r>
      <rPr>
        <sz val="10.5"/>
        <rFont val="Times New Roman"/>
        <family val="1"/>
      </rPr>
      <t>-70°C~-90°C</t>
    </r>
    <r>
      <rPr>
        <sz val="10.5"/>
        <rFont val="宋体"/>
        <family val="3"/>
        <charset val="134"/>
      </rPr>
      <t>下稳定至少</t>
    </r>
    <r>
      <rPr>
        <sz val="10.5"/>
        <rFont val="Times New Roman"/>
        <family val="1"/>
      </rPr>
      <t>64</t>
    </r>
    <r>
      <rPr>
        <sz val="10.5"/>
        <rFont val="宋体"/>
        <family val="3"/>
        <charset val="134"/>
      </rPr>
      <t xml:space="preserve">天；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存在下）：在</t>
    </r>
    <r>
      <rPr>
        <sz val="10.5"/>
        <rFont val="Times New Roman"/>
        <family val="1"/>
      </rPr>
      <t>-70°C~-90°C</t>
    </r>
    <r>
      <rPr>
        <sz val="10.5"/>
        <rFont val="宋体"/>
        <family val="3"/>
        <charset val="134"/>
      </rPr>
      <t>下稳定至少</t>
    </r>
    <r>
      <rPr>
        <sz val="10.5"/>
        <rFont val="Times New Roman"/>
        <family val="1"/>
      </rPr>
      <t>78</t>
    </r>
    <r>
      <rPr>
        <sz val="10.5"/>
        <rFont val="宋体"/>
        <family val="3"/>
        <charset val="134"/>
      </rPr>
      <t>天</t>
    </r>
    <phoneticPr fontId="3" type="noConversion"/>
  </si>
  <si>
    <r>
      <t>2%</t>
    </r>
    <r>
      <rPr>
        <sz val="10.5"/>
        <rFont val="宋体"/>
        <family val="3"/>
        <charset val="134"/>
      </rPr>
      <t>溶血符合接受标准</t>
    </r>
    <phoneticPr fontId="3" type="noConversion"/>
  </si>
  <si>
    <r>
      <rPr>
        <sz val="10.5"/>
        <rFont val="宋体"/>
        <family val="3"/>
        <charset val="134"/>
      </rPr>
      <t>最大分析批进样针数</t>
    </r>
  </si>
  <si>
    <r>
      <rPr>
        <sz val="10.5"/>
        <rFont val="宋体"/>
        <family val="3"/>
        <charset val="134"/>
      </rPr>
      <t>至少</t>
    </r>
    <r>
      <rPr>
        <sz val="10.5"/>
        <rFont val="Times New Roman"/>
        <family val="1"/>
      </rPr>
      <t>135</t>
    </r>
    <r>
      <rPr>
        <sz val="10.5"/>
        <rFont val="宋体"/>
        <family val="3"/>
        <charset val="134"/>
      </rPr>
      <t>针</t>
    </r>
    <phoneticPr fontId="3" type="noConversion"/>
  </si>
  <si>
    <r>
      <rPr>
        <sz val="10.5"/>
        <color theme="1"/>
        <rFont val="宋体"/>
        <family val="3"/>
        <charset val="134"/>
      </rPr>
      <t>分析天平编号：</t>
    </r>
  </si>
  <si>
    <r>
      <rPr>
        <sz val="10.5"/>
        <rFont val="宋体"/>
        <family val="3"/>
        <charset val="134"/>
      </rPr>
      <t>接受批：</t>
    </r>
    <phoneticPr fontId="12" type="noConversion"/>
  </si>
  <si>
    <r>
      <rPr>
        <sz val="10.5"/>
        <color theme="1"/>
        <rFont val="宋体"/>
        <family val="3"/>
        <charset val="134"/>
      </rPr>
      <t>类型</t>
    </r>
  </si>
  <si>
    <r>
      <rPr>
        <sz val="10.5"/>
        <color theme="1"/>
        <rFont val="宋体"/>
        <family val="3"/>
        <charset val="134"/>
      </rPr>
      <t>配制日期</t>
    </r>
    <phoneticPr fontId="12" type="noConversion"/>
  </si>
  <si>
    <r>
      <rPr>
        <sz val="10.5"/>
        <color theme="1"/>
        <rFont val="宋体"/>
        <family val="3"/>
        <charset val="134"/>
      </rPr>
      <t>储存条件</t>
    </r>
  </si>
  <si>
    <r>
      <rPr>
        <sz val="10.5"/>
        <color theme="1"/>
        <rFont val="宋体"/>
        <family val="3"/>
        <charset val="134"/>
      </rPr>
      <t>标准曲线样品</t>
    </r>
    <phoneticPr fontId="12" type="noConversion"/>
  </si>
  <si>
    <r>
      <rPr>
        <sz val="10.5"/>
        <color theme="1"/>
        <rFont val="宋体"/>
        <family val="3"/>
        <charset val="134"/>
      </rPr>
      <t>当日使用</t>
    </r>
    <phoneticPr fontId="12" type="noConversion"/>
  </si>
  <si>
    <r>
      <rPr>
        <sz val="10.5"/>
        <color theme="1"/>
        <rFont val="宋体"/>
        <family val="3"/>
        <charset val="134"/>
      </rPr>
      <t>质量控制样品</t>
    </r>
    <phoneticPr fontId="12" type="noConversion"/>
  </si>
  <si>
    <r>
      <rPr>
        <sz val="10.5"/>
        <color theme="1"/>
        <rFont val="宋体"/>
        <family val="3"/>
        <charset val="134"/>
      </rPr>
      <t>当日使用</t>
    </r>
  </si>
  <si>
    <r>
      <t xml:space="preserve">2.6 </t>
    </r>
    <r>
      <rPr>
        <sz val="10.5"/>
        <rFont val="宋体"/>
        <family val="3"/>
        <charset val="134"/>
      </rPr>
      <t>空白基质</t>
    </r>
    <phoneticPr fontId="12" type="noConversion"/>
  </si>
  <si>
    <r>
      <rPr>
        <sz val="10.5"/>
        <rFont val="宋体"/>
        <family val="3"/>
        <charset val="134"/>
      </rPr>
      <t>基质</t>
    </r>
  </si>
  <si>
    <r>
      <rPr>
        <sz val="10.5"/>
        <rFont val="宋体"/>
        <family val="3"/>
        <charset val="134"/>
      </rPr>
      <t>供应商</t>
    </r>
  </si>
  <si>
    <r>
      <rPr>
        <sz val="10.5"/>
        <rFont val="宋体"/>
        <family val="3"/>
        <charset val="134"/>
      </rPr>
      <t>益诺思登记号</t>
    </r>
  </si>
  <si>
    <r>
      <rPr>
        <sz val="10.5"/>
        <rFont val="宋体"/>
        <family val="3"/>
        <charset val="134"/>
      </rPr>
      <t>接收日期</t>
    </r>
  </si>
  <si>
    <r>
      <t>SD</t>
    </r>
    <r>
      <rPr>
        <sz val="10.5"/>
        <rFont val="宋体"/>
        <family val="3"/>
        <charset val="134"/>
      </rPr>
      <t>大鼠</t>
    </r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全血</t>
    </r>
    <phoneticPr fontId="12" type="noConversion"/>
  </si>
  <si>
    <r>
      <rPr>
        <sz val="10.5"/>
        <rFont val="宋体"/>
        <family val="3"/>
        <charset val="134"/>
      </rPr>
      <t>上海益诺思生物技术股份有限公司</t>
    </r>
    <phoneticPr fontId="12" type="noConversion"/>
  </si>
  <si>
    <r>
      <t>SD</t>
    </r>
    <r>
      <rPr>
        <sz val="10.5"/>
        <rFont val="宋体"/>
        <family val="3"/>
        <charset val="134"/>
      </rPr>
      <t>大鼠</t>
    </r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血浆</t>
    </r>
    <phoneticPr fontId="12" type="noConversion"/>
  </si>
  <si>
    <r>
      <rPr>
        <sz val="10.5"/>
        <rFont val="宋体"/>
        <family val="3"/>
        <charset val="134"/>
      </rPr>
      <t>斯贝福（北京）生物技术有限公司</t>
    </r>
    <phoneticPr fontId="12" type="noConversion"/>
  </si>
  <si>
    <r>
      <t>-15 ~ -25ºC</t>
    </r>
    <r>
      <rPr>
        <sz val="10.5"/>
        <rFont val="宋体"/>
        <family val="3"/>
        <charset val="134"/>
      </rPr>
      <t>，避光</t>
    </r>
  </si>
  <si>
    <t>#597.285</t>
    <phoneticPr fontId="12" type="noConversion"/>
  </si>
  <si>
    <r>
      <t>#</t>
    </r>
    <r>
      <rPr>
        <sz val="10.5"/>
        <rFont val="宋体"/>
        <family val="3"/>
        <charset val="134"/>
      </rPr>
      <t>表示不满足接受标准，仍参与统计计算</t>
    </r>
    <phoneticPr fontId="3" type="noConversion"/>
  </si>
  <si>
    <r>
      <rPr>
        <sz val="10.5"/>
        <color rgb="FFFF0000"/>
        <rFont val="宋体"/>
        <family val="3"/>
        <charset val="134"/>
      </rPr>
      <t>失败</t>
    </r>
    <phoneticPr fontId="3" type="noConversion"/>
  </si>
  <si>
    <t>上海安谱实验科技股份有限公司</t>
    <phoneticPr fontId="12" type="noConversion"/>
  </si>
  <si>
    <r>
      <t xml:space="preserve">上海安谱实验科技股份有限公司/
</t>
    </r>
    <r>
      <rPr>
        <sz val="10.5"/>
        <rFont val="宋体"/>
        <family val="3"/>
        <charset val="134"/>
      </rPr>
      <t>上海阿拉丁生化科技股份有限公司</t>
    </r>
    <phoneticPr fontId="12" type="noConversion"/>
  </si>
  <si>
    <t>上海皓元生物科技有限公司</t>
    <phoneticPr fontId="12" type="noConversion"/>
  </si>
  <si>
    <r>
      <t>RESS24225</t>
    </r>
    <r>
      <rPr>
        <sz val="10.5"/>
        <rFont val="宋体"/>
        <family val="3"/>
        <charset val="134"/>
      </rPr>
      <t>：冰浴黄光下至少稳定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3"/>
        <charset val="134"/>
      </rPr>
      <t>存在下）：冰浴黄光下至少稳定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</t>
    </r>
    <phoneticPr fontId="3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</si>
  <si>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</t>
    </r>
    <r>
      <rPr>
        <sz val="10.5"/>
        <rFont val="Times New Roman"/>
        <family val="1"/>
      </rPr>
      <t>66</t>
    </r>
    <r>
      <rPr>
        <sz val="10.5"/>
        <rFont val="宋体"/>
        <family val="3"/>
        <charset val="134"/>
      </rPr>
      <t>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</si>
</sst>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0.0"/>
    <numFmt numFmtId="177" formatCode="0.0_ "/>
    <numFmt numFmtId="178" formatCode="0.000"/>
    <numFmt numFmtId="179" formatCode="0.000000"/>
    <numFmt numFmtId="180" formatCode="yyyy/mm/dd"/>
    <numFmt numFmtId="181" formatCode="0.0000"/>
    <numFmt numFmtId="182" formatCode="0;_愀"/>
    <numFmt numFmtId="183" formatCode="0.0;_愀"/>
    <numFmt numFmtId="184" formatCode="0.000_ "/>
    <numFmt numFmtId="185" formatCode="0.000000_ "/>
    <numFmt numFmtId="186" formatCode="yyyy/mm/dd\ hh:mm"/>
    <numFmt numFmtId="187" formatCode="0.00;[Red]0.00"/>
    <numFmt numFmtId="188" formatCode="\'\-0"/>
    <numFmt numFmtId="189" formatCode="0.00000"/>
    <numFmt numFmtId="190" formatCode="0.0000000"/>
    <numFmt numFmtId="191" formatCode="0.00000000"/>
    <numFmt numFmtId="192" formatCode="0.0%"/>
  </numFmts>
  <fonts count="44">
    <font>
      <sz val="11"/>
      <color theme="1"/>
      <name val="DengXian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1"/>
      <color rgb="FF9C0006"/>
      <name val="Calibri"/>
      <family val="2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0.5"/>
      <color rgb="FF00B0F0"/>
      <name val="宋体"/>
      <family val="3"/>
      <charset val="134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1"/>
      <color rgb="FF9C0006"/>
      <name val="DengXian"/>
      <family val="2"/>
      <scheme val="minor"/>
    </font>
    <font>
      <sz val="10.5"/>
      <color rgb="FF000000"/>
      <name val="Times New Roman"/>
      <family val="1"/>
    </font>
    <font>
      <vertAlign val="superscript"/>
      <sz val="10.5"/>
      <name val="Times New Roman"/>
      <family val="1"/>
    </font>
    <font>
      <sz val="10.5"/>
      <color rgb="FF000000"/>
      <name val="宋体"/>
      <family val="3"/>
      <charset val="134"/>
    </font>
    <font>
      <sz val="10.5"/>
      <color rgb="FFFF0000"/>
      <name val="Times New Roman"/>
      <family val="1"/>
    </font>
    <font>
      <sz val="10.5"/>
      <color rgb="FFFF0000"/>
      <name val="宋体"/>
      <family val="3"/>
      <charset val="134"/>
    </font>
    <font>
      <sz val="10.5"/>
      <name val="宋体"/>
      <family val="1"/>
      <charset val="134"/>
    </font>
    <font>
      <sz val="10.5"/>
      <name val="Times New Roman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/>
    <xf numFmtId="0" fontId="5" fillId="2" borderId="0" applyNumberFormat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0" fillId="0" borderId="0"/>
    <xf numFmtId="0" fontId="2" fillId="0" borderId="0"/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2" borderId="0" applyNumberFormat="0" applyBorder="0" applyAlignment="0" applyProtection="0"/>
    <xf numFmtId="0" fontId="15" fillId="0" borderId="0"/>
    <xf numFmtId="0" fontId="10" fillId="0" borderId="0"/>
    <xf numFmtId="0" fontId="18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5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20" fillId="7" borderId="0" applyNumberFormat="0" applyBorder="0" applyAlignment="0" applyProtection="0"/>
    <xf numFmtId="0" fontId="20" fillId="11" borderId="0" applyNumberFormat="0" applyBorder="0" applyAlignment="0" applyProtection="0"/>
    <xf numFmtId="0" fontId="20" fillId="15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4" borderId="0" applyNumberFormat="0" applyBorder="0" applyAlignment="0" applyProtection="0"/>
    <xf numFmtId="0" fontId="20" fillId="8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1" fillId="2" borderId="0" applyNumberFormat="0" applyBorder="0" applyAlignment="0" applyProtection="0"/>
    <xf numFmtId="0" fontId="22" fillId="30" borderId="24" applyNumberFormat="0" applyAlignment="0" applyProtection="0"/>
    <xf numFmtId="0" fontId="23" fillId="31" borderId="27" applyNumberFormat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0" borderId="21" applyNumberFormat="0" applyFill="0" applyAlignment="0" applyProtection="0"/>
    <xf numFmtId="0" fontId="27" fillId="0" borderId="22" applyNumberFormat="0" applyFill="0" applyAlignment="0" applyProtection="0"/>
    <xf numFmtId="0" fontId="28" fillId="0" borderId="23" applyNumberFormat="0" applyFill="0" applyAlignment="0" applyProtection="0"/>
    <xf numFmtId="0" fontId="28" fillId="0" borderId="0" applyNumberFormat="0" applyFill="0" applyBorder="0" applyAlignment="0" applyProtection="0"/>
    <xf numFmtId="0" fontId="29" fillId="29" borderId="24" applyNumberFormat="0" applyAlignment="0" applyProtection="0"/>
    <xf numFmtId="0" fontId="30" fillId="0" borderId="26" applyNumberFormat="0" applyFill="0" applyAlignment="0" applyProtection="0"/>
    <xf numFmtId="0" fontId="31" fillId="28" borderId="0" applyNumberFormat="0" applyBorder="0" applyAlignment="0" applyProtection="0"/>
    <xf numFmtId="0" fontId="19" fillId="32" borderId="28" applyNumberFormat="0" applyFont="0" applyAlignment="0" applyProtection="0"/>
    <xf numFmtId="0" fontId="32" fillId="30" borderId="25" applyNumberFormat="0" applyAlignment="0" applyProtection="0"/>
    <xf numFmtId="0" fontId="33" fillId="0" borderId="0" applyNumberFormat="0" applyFill="0" applyBorder="0" applyAlignment="0" applyProtection="0"/>
    <xf numFmtId="0" fontId="34" fillId="0" borderId="29" applyNumberFormat="0" applyFill="0" applyAlignment="0" applyProtection="0"/>
    <xf numFmtId="0" fontId="35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>
      <alignment vertical="center"/>
    </xf>
    <xf numFmtId="0" fontId="17" fillId="2" borderId="0" applyNumberFormat="0" applyBorder="0" applyAlignment="0" applyProtection="0"/>
  </cellStyleXfs>
  <cellXfs count="143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178" fontId="8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justify"/>
    </xf>
    <xf numFmtId="0" fontId="8" fillId="0" borderId="0" xfId="0" applyFont="1" applyAlignment="1">
      <alignment horizontal="center"/>
    </xf>
    <xf numFmtId="14" fontId="8" fillId="0" borderId="0" xfId="0" applyNumberFormat="1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8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18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/>
    </xf>
    <xf numFmtId="189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90" fontId="8" fillId="0" borderId="1" xfId="0" applyNumberFormat="1" applyFont="1" applyBorder="1" applyAlignment="1">
      <alignment horizontal="center" vertical="center"/>
    </xf>
    <xf numFmtId="191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89" fontId="8" fillId="0" borderId="5" xfId="0" applyNumberFormat="1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81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86" fontId="8" fillId="0" borderId="0" xfId="0" applyNumberFormat="1" applyFont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187" fontId="8" fillId="0" borderId="0" xfId="0" applyNumberFormat="1" applyFont="1" applyAlignment="1">
      <alignment horizontal="left" vertical="center"/>
    </xf>
    <xf numFmtId="184" fontId="8" fillId="0" borderId="1" xfId="0" applyNumberFormat="1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 wrapText="1"/>
    </xf>
    <xf numFmtId="185" fontId="8" fillId="0" borderId="1" xfId="0" applyNumberFormat="1" applyFont="1" applyBorder="1" applyAlignment="1">
      <alignment horizontal="center" vertical="center" wrapText="1"/>
    </xf>
    <xf numFmtId="179" fontId="8" fillId="0" borderId="1" xfId="2" applyNumberFormat="1" applyFont="1" applyBorder="1" applyAlignment="1">
      <alignment horizontal="center" vertical="center" wrapText="1"/>
    </xf>
    <xf numFmtId="176" fontId="8" fillId="0" borderId="1" xfId="2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0" xfId="0" applyFont="1"/>
    <xf numFmtId="185" fontId="7" fillId="0" borderId="20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85" fontId="8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80" fontId="8" fillId="0" borderId="0" xfId="0" applyNumberFormat="1" applyFont="1" applyAlignment="1">
      <alignment horizontal="left" vertical="center" wrapText="1"/>
    </xf>
    <xf numFmtId="178" fontId="8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1" xfId="26" applyFont="1" applyBorder="1" applyAlignment="1">
      <alignment horizontal="justify" vertical="center" wrapText="1"/>
    </xf>
    <xf numFmtId="0" fontId="7" fillId="0" borderId="1" xfId="0" quotePrefix="1" applyFont="1" applyBorder="1" applyAlignment="1">
      <alignment horizontal="left" vertical="center" wrapText="1"/>
    </xf>
    <xf numFmtId="177" fontId="7" fillId="0" borderId="6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wrapText="1"/>
    </xf>
    <xf numFmtId="9" fontId="8" fillId="0" borderId="1" xfId="0" applyNumberFormat="1" applyFont="1" applyBorder="1" applyAlignment="1">
      <alignment horizontal="justify" wrapText="1"/>
    </xf>
    <xf numFmtId="14" fontId="8" fillId="0" borderId="1" xfId="0" applyNumberFormat="1" applyFont="1" applyBorder="1" applyAlignment="1">
      <alignment horizontal="justify" wrapText="1"/>
    </xf>
    <xf numFmtId="192" fontId="8" fillId="0" borderId="1" xfId="0" applyNumberFormat="1" applyFont="1" applyBorder="1" applyAlignment="1">
      <alignment horizontal="justify" wrapText="1"/>
    </xf>
    <xf numFmtId="14" fontId="8" fillId="0" borderId="1" xfId="0" quotePrefix="1" applyNumberFormat="1" applyFont="1" applyBorder="1" applyAlignment="1">
      <alignment horizontal="justify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right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/>
    </xf>
    <xf numFmtId="1" fontId="8" fillId="0" borderId="0" xfId="0" applyNumberFormat="1" applyFont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40" fillId="0" borderId="0" xfId="0" applyFont="1"/>
    <xf numFmtId="0" fontId="42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10" fontId="8" fillId="0" borderId="1" xfId="0" applyNumberFormat="1" applyFont="1" applyBorder="1" applyAlignment="1">
      <alignment horizontal="left" vertical="center" wrapText="1"/>
    </xf>
    <xf numFmtId="188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82" fontId="8" fillId="0" borderId="2" xfId="0" applyNumberFormat="1" applyFont="1" applyBorder="1" applyAlignment="1">
      <alignment horizontal="center" vertical="center" wrapText="1"/>
    </xf>
    <xf numFmtId="182" fontId="8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180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1" fontId="8" fillId="0" borderId="1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77" fontId="8" fillId="0" borderId="1" xfId="0" applyNumberFormat="1" applyFont="1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76" fontId="8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180" fontId="8" fillId="0" borderId="9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0" fontId="43" fillId="0" borderId="4" xfId="0" applyFont="1" applyBorder="1" applyAlignment="1">
      <alignment horizontal="center" vertical="center" wrapText="1"/>
    </xf>
  </cellXfs>
  <cellStyles count="80">
    <cellStyle name="20% - Accent1" xfId="35" xr:uid="{00000000-0005-0000-0000-000000000000}"/>
    <cellStyle name="20% - Accent2" xfId="36" xr:uid="{00000000-0005-0000-0000-000001000000}"/>
    <cellStyle name="20% - Accent3" xfId="37" xr:uid="{00000000-0005-0000-0000-000002000000}"/>
    <cellStyle name="20% - Accent4" xfId="38" xr:uid="{00000000-0005-0000-0000-000003000000}"/>
    <cellStyle name="20% - Accent5" xfId="39" xr:uid="{00000000-0005-0000-0000-000004000000}"/>
    <cellStyle name="20% - Accent6" xfId="40" xr:uid="{00000000-0005-0000-0000-000005000000}"/>
    <cellStyle name="20% - 强调文字颜色 1" xfId="7" xr:uid="{00000000-0005-0000-0000-000006000000}"/>
    <cellStyle name="20% - 强调文字颜色 2" xfId="8" xr:uid="{00000000-0005-0000-0000-000007000000}"/>
    <cellStyle name="20% - 强调文字颜色 3" xfId="9" xr:uid="{00000000-0005-0000-0000-000008000000}"/>
    <cellStyle name="20% - 强调文字颜色 4" xfId="10" xr:uid="{00000000-0005-0000-0000-000009000000}"/>
    <cellStyle name="20% - 强调文字颜色 5" xfId="11" xr:uid="{00000000-0005-0000-0000-00000A000000}"/>
    <cellStyle name="20% - 强调文字颜色 6" xfId="12" xr:uid="{00000000-0005-0000-0000-00000B000000}"/>
    <cellStyle name="40% - Accent1" xfId="41" xr:uid="{00000000-0005-0000-0000-00000C000000}"/>
    <cellStyle name="40% - Accent2" xfId="42" xr:uid="{00000000-0005-0000-0000-00000D000000}"/>
    <cellStyle name="40% - Accent3" xfId="43" xr:uid="{00000000-0005-0000-0000-00000E000000}"/>
    <cellStyle name="40% - Accent4" xfId="44" xr:uid="{00000000-0005-0000-0000-00000F000000}"/>
    <cellStyle name="40% - Accent5" xfId="45" xr:uid="{00000000-0005-0000-0000-000010000000}"/>
    <cellStyle name="40% - Accent6" xfId="46" xr:uid="{00000000-0005-0000-0000-000011000000}"/>
    <cellStyle name="40% - 强调文字颜色 1" xfId="13" xr:uid="{00000000-0005-0000-0000-000012000000}"/>
    <cellStyle name="40% - 强调文字颜色 2" xfId="14" xr:uid="{00000000-0005-0000-0000-000013000000}"/>
    <cellStyle name="40% - 强调文字颜色 3" xfId="15" xr:uid="{00000000-0005-0000-0000-000014000000}"/>
    <cellStyle name="40% - 强调文字颜色 4" xfId="16" xr:uid="{00000000-0005-0000-0000-000015000000}"/>
    <cellStyle name="40% - 强调文字颜色 5" xfId="17" xr:uid="{00000000-0005-0000-0000-000016000000}"/>
    <cellStyle name="40% - 强调文字颜色 6" xfId="18" xr:uid="{00000000-0005-0000-0000-000017000000}"/>
    <cellStyle name="60% - Accent1" xfId="47" xr:uid="{00000000-0005-0000-0000-000018000000}"/>
    <cellStyle name="60% - Accent2" xfId="48" xr:uid="{00000000-0005-0000-0000-000019000000}"/>
    <cellStyle name="60% - Accent3" xfId="49" xr:uid="{00000000-0005-0000-0000-00001A000000}"/>
    <cellStyle name="60% - Accent4" xfId="50" xr:uid="{00000000-0005-0000-0000-00001B000000}"/>
    <cellStyle name="60% - Accent5" xfId="51" xr:uid="{00000000-0005-0000-0000-00001C000000}"/>
    <cellStyle name="60% - Accent6" xfId="52" xr:uid="{00000000-0005-0000-0000-00001D000000}"/>
    <cellStyle name="60% - 强调文字颜色 1" xfId="19" xr:uid="{00000000-0005-0000-0000-00001E000000}"/>
    <cellStyle name="60% - 强调文字颜色 2" xfId="20" xr:uid="{00000000-0005-0000-0000-00001F000000}"/>
    <cellStyle name="60% - 强调文字颜色 3" xfId="21" xr:uid="{00000000-0005-0000-0000-000020000000}"/>
    <cellStyle name="60% - 强调文字颜色 4" xfId="22" xr:uid="{00000000-0005-0000-0000-000021000000}"/>
    <cellStyle name="60% - 强调文字颜色 5" xfId="23" xr:uid="{00000000-0005-0000-0000-000022000000}"/>
    <cellStyle name="60% - 强调文字颜色 6" xfId="24" xr:uid="{00000000-0005-0000-0000-000023000000}"/>
    <cellStyle name="Accent1" xfId="53" xr:uid="{00000000-0005-0000-0000-000024000000}"/>
    <cellStyle name="Accent2" xfId="54" xr:uid="{00000000-0005-0000-0000-000025000000}"/>
    <cellStyle name="Accent3" xfId="55" xr:uid="{00000000-0005-0000-0000-000026000000}"/>
    <cellStyle name="Accent4" xfId="56" xr:uid="{00000000-0005-0000-0000-000027000000}"/>
    <cellStyle name="Accent5" xfId="57" xr:uid="{00000000-0005-0000-0000-000028000000}"/>
    <cellStyle name="Accent6" xfId="58" xr:uid="{00000000-0005-0000-0000-000029000000}"/>
    <cellStyle name="Bad" xfId="59" xr:uid="{00000000-0005-0000-0000-00002A000000}"/>
    <cellStyle name="Bad 2" xfId="1" xr:uid="{00000000-0005-0000-0000-00002B000000}"/>
    <cellStyle name="Bad_表11_Recovery" xfId="76" xr:uid="{00000000-0005-0000-0000-00002C000000}"/>
    <cellStyle name="Calculation" xfId="60" xr:uid="{00000000-0005-0000-0000-00002D000000}"/>
    <cellStyle name="Check Cell" xfId="61" xr:uid="{00000000-0005-0000-0000-00002E000000}"/>
    <cellStyle name="Explanatory Text" xfId="62" xr:uid="{00000000-0005-0000-0000-00002F000000}"/>
    <cellStyle name="Good" xfId="63" xr:uid="{00000000-0005-0000-0000-000030000000}"/>
    <cellStyle name="Heading 1" xfId="64" xr:uid="{00000000-0005-0000-0000-000031000000}"/>
    <cellStyle name="Heading 2" xfId="65" xr:uid="{00000000-0005-0000-0000-000032000000}"/>
    <cellStyle name="Heading 3" xfId="66" xr:uid="{00000000-0005-0000-0000-000033000000}"/>
    <cellStyle name="Heading 4" xfId="67" xr:uid="{00000000-0005-0000-0000-000034000000}"/>
    <cellStyle name="Input" xfId="68" xr:uid="{00000000-0005-0000-0000-000035000000}"/>
    <cellStyle name="Linked Cell" xfId="69" xr:uid="{00000000-0005-0000-0000-000036000000}"/>
    <cellStyle name="Neutral" xfId="70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6" xr:uid="{00000000-0005-0000-0000-00003A000000}"/>
    <cellStyle name="Note" xfId="71" xr:uid="{00000000-0005-0000-0000-00003B000000}"/>
    <cellStyle name="Output" xfId="72" xr:uid="{00000000-0005-0000-0000-00003C000000}"/>
    <cellStyle name="Percent 2" xfId="4" xr:uid="{00000000-0005-0000-0000-00003D000000}"/>
    <cellStyle name="Title" xfId="73" xr:uid="{00000000-0005-0000-0000-00003E000000}"/>
    <cellStyle name="Total" xfId="74" xr:uid="{00000000-0005-0000-0000-00003F000000}"/>
    <cellStyle name="Warning Text" xfId="75" xr:uid="{00000000-0005-0000-0000-000040000000}"/>
    <cellStyle name="差_1.1" xfId="25" xr:uid="{00000000-0005-0000-0000-000043000000}"/>
    <cellStyle name="差_表11_Recovery" xfId="77" xr:uid="{00000000-0005-0000-0000-000044000000}"/>
    <cellStyle name="差_表25_干扰" xfId="79" xr:uid="{00000000-0005-0000-0000-000045000000}"/>
    <cellStyle name="常规" xfId="0" builtinId="0"/>
    <cellStyle name="常规 2" xfId="27" xr:uid="{00000000-0005-0000-0000-000047000000}"/>
    <cellStyle name="常规 2 2" xfId="5" xr:uid="{00000000-0005-0000-0000-000048000000}"/>
    <cellStyle name="常规_1.1" xfId="26" xr:uid="{00000000-0005-0000-0000-000049000000}"/>
    <cellStyle name="好_1.1" xfId="28" xr:uid="{00000000-0005-0000-0000-000041000000}"/>
    <cellStyle name="好_表11_Recovery" xfId="78" xr:uid="{00000000-0005-0000-0000-000042000000}"/>
    <cellStyle name="强调文字颜色 1" xfId="29" xr:uid="{00000000-0005-0000-0000-00004A000000}"/>
    <cellStyle name="强调文字颜色 2" xfId="30" xr:uid="{00000000-0005-0000-0000-00004B000000}"/>
    <cellStyle name="强调文字颜色 3" xfId="31" xr:uid="{00000000-0005-0000-0000-00004C000000}"/>
    <cellStyle name="强调文字颜色 4" xfId="32" xr:uid="{00000000-0005-0000-0000-00004D000000}"/>
    <cellStyle name="强调文字颜色 5" xfId="33" xr:uid="{00000000-0005-0000-0000-00004E000000}"/>
    <cellStyle name="强调文字颜色 6" xfId="34" xr:uid="{00000000-0005-0000-0000-00004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1"/>
  <sheetViews>
    <sheetView view="pageBreakPreview" topLeftCell="A43" zoomScaleNormal="100" zoomScaleSheetLayoutView="100" workbookViewId="0">
      <selection activeCell="B50" sqref="B50:C50"/>
    </sheetView>
  </sheetViews>
  <sheetFormatPr defaultColWidth="8.875" defaultRowHeight="19.5" customHeight="1"/>
  <cols>
    <col min="1" max="1" width="34.75" style="6" customWidth="1"/>
    <col min="2" max="2" width="34.875" style="6" customWidth="1"/>
    <col min="3" max="3" width="43.5" style="6" customWidth="1"/>
    <col min="4" max="16384" width="8.875" style="6"/>
  </cols>
  <sheetData>
    <row r="1" spans="1:3" ht="19.5" customHeight="1">
      <c r="A1" s="6" t="s">
        <v>19</v>
      </c>
    </row>
    <row r="3" spans="1:3" ht="19.5" customHeight="1">
      <c r="A3" s="66" t="s">
        <v>28</v>
      </c>
      <c r="B3" s="89" t="s">
        <v>206</v>
      </c>
      <c r="C3" s="89"/>
    </row>
    <row r="4" spans="1:3" ht="19.5" customHeight="1">
      <c r="A4" s="66" t="s">
        <v>21</v>
      </c>
      <c r="B4" s="89" t="s">
        <v>205</v>
      </c>
      <c r="C4" s="89"/>
    </row>
    <row r="5" spans="1:3" ht="19.5" customHeight="1">
      <c r="A5" s="66" t="s">
        <v>304</v>
      </c>
      <c r="B5" s="87" t="s">
        <v>207</v>
      </c>
      <c r="C5" s="88"/>
    </row>
    <row r="6" spans="1:3" ht="19.5" customHeight="1">
      <c r="A6" s="66" t="s">
        <v>305</v>
      </c>
      <c r="B6" s="66" t="s">
        <v>306</v>
      </c>
      <c r="C6" s="66" t="s">
        <v>307</v>
      </c>
    </row>
    <row r="7" spans="1:3" ht="19.5" customHeight="1">
      <c r="A7" s="66" t="s">
        <v>308</v>
      </c>
      <c r="B7" s="66" t="s">
        <v>208</v>
      </c>
      <c r="C7" s="66" t="s">
        <v>209</v>
      </c>
    </row>
    <row r="8" spans="1:3" ht="19.5" customHeight="1">
      <c r="A8" s="66" t="s">
        <v>309</v>
      </c>
      <c r="B8" s="66" t="s">
        <v>18</v>
      </c>
      <c r="C8" s="66" t="s">
        <v>310</v>
      </c>
    </row>
    <row r="9" spans="1:3" ht="19.5" customHeight="1">
      <c r="A9" s="66" t="s">
        <v>311</v>
      </c>
      <c r="B9" s="66" t="s">
        <v>18</v>
      </c>
      <c r="C9" s="66" t="s">
        <v>210</v>
      </c>
    </row>
    <row r="10" spans="1:3" ht="19.5" customHeight="1">
      <c r="A10" s="67" t="s">
        <v>312</v>
      </c>
      <c r="B10" s="89" t="s">
        <v>313</v>
      </c>
      <c r="C10" s="89"/>
    </row>
    <row r="11" spans="1:3" ht="19.5" customHeight="1">
      <c r="A11" s="66" t="s">
        <v>314</v>
      </c>
      <c r="B11" s="89" t="s">
        <v>315</v>
      </c>
      <c r="C11" s="89"/>
    </row>
    <row r="12" spans="1:3" ht="19.5" customHeight="1">
      <c r="A12" s="66" t="s">
        <v>316</v>
      </c>
      <c r="B12" s="89" t="s">
        <v>317</v>
      </c>
      <c r="C12" s="89"/>
    </row>
    <row r="13" spans="1:3" ht="19.5" customHeight="1">
      <c r="A13" s="89" t="s">
        <v>52</v>
      </c>
      <c r="B13" s="89" t="s">
        <v>211</v>
      </c>
      <c r="C13" s="89"/>
    </row>
    <row r="14" spans="1:3" ht="19.5" customHeight="1">
      <c r="A14" s="89"/>
      <c r="B14" s="89" t="s">
        <v>237</v>
      </c>
      <c r="C14" s="89"/>
    </row>
    <row r="15" spans="1:3" ht="19.5" customHeight="1">
      <c r="A15" s="89" t="s">
        <v>318</v>
      </c>
      <c r="B15" s="89" t="s">
        <v>212</v>
      </c>
      <c r="C15" s="89"/>
    </row>
    <row r="16" spans="1:3" ht="19.5" customHeight="1">
      <c r="A16" s="89"/>
      <c r="B16" s="89" t="s">
        <v>213</v>
      </c>
      <c r="C16" s="89"/>
    </row>
    <row r="17" spans="1:3" ht="19.5" customHeight="1">
      <c r="A17" s="89"/>
      <c r="B17" s="87" t="s">
        <v>319</v>
      </c>
      <c r="C17" s="88"/>
    </row>
    <row r="18" spans="1:3" ht="19.5" customHeight="1">
      <c r="A18" s="66" t="s">
        <v>320</v>
      </c>
      <c r="B18" s="87" t="s">
        <v>214</v>
      </c>
      <c r="C18" s="88"/>
    </row>
    <row r="19" spans="1:3" ht="19.5" customHeight="1">
      <c r="A19" s="66" t="s">
        <v>321</v>
      </c>
      <c r="B19" s="89" t="s">
        <v>215</v>
      </c>
      <c r="C19" s="89"/>
    </row>
    <row r="20" spans="1:3" ht="19.5" customHeight="1">
      <c r="A20" s="66" t="s">
        <v>322</v>
      </c>
      <c r="B20" s="89" t="s">
        <v>216</v>
      </c>
      <c r="C20" s="89"/>
    </row>
    <row r="21" spans="1:3" ht="19.5" customHeight="1">
      <c r="A21" s="66" t="s">
        <v>20</v>
      </c>
      <c r="B21" s="89" t="s">
        <v>217</v>
      </c>
      <c r="C21" s="89"/>
    </row>
    <row r="22" spans="1:3" ht="19.5" customHeight="1">
      <c r="A22" s="66" t="s">
        <v>323</v>
      </c>
      <c r="B22" s="87" t="s">
        <v>324</v>
      </c>
      <c r="C22" s="88"/>
    </row>
    <row r="23" spans="1:3" ht="19.5" customHeight="1">
      <c r="A23" s="66" t="s">
        <v>325</v>
      </c>
      <c r="B23" s="89" t="s">
        <v>218</v>
      </c>
      <c r="C23" s="89"/>
    </row>
    <row r="24" spans="1:3" ht="19.5" customHeight="1">
      <c r="A24" s="66" t="s">
        <v>326</v>
      </c>
      <c r="B24" s="89" t="s">
        <v>219</v>
      </c>
      <c r="C24" s="89"/>
    </row>
    <row r="25" spans="1:3" ht="20.25" customHeight="1">
      <c r="A25" s="66" t="s">
        <v>327</v>
      </c>
      <c r="B25" s="90" t="s">
        <v>220</v>
      </c>
      <c r="C25" s="90"/>
    </row>
    <row r="26" spans="1:3" ht="19.5" customHeight="1">
      <c r="A26" s="66" t="s">
        <v>328</v>
      </c>
      <c r="B26" s="89" t="s">
        <v>8</v>
      </c>
      <c r="C26" s="89"/>
    </row>
    <row r="27" spans="1:3" ht="19.5" customHeight="1">
      <c r="A27" s="66" t="s">
        <v>329</v>
      </c>
      <c r="B27" s="89" t="s">
        <v>330</v>
      </c>
      <c r="C27" s="89"/>
    </row>
    <row r="28" spans="1:3" ht="19.5" customHeight="1">
      <c r="A28" s="66" t="s">
        <v>331</v>
      </c>
      <c r="B28" s="90" t="s">
        <v>221</v>
      </c>
      <c r="C28" s="90"/>
    </row>
    <row r="29" spans="1:3" ht="19.5" customHeight="1">
      <c r="A29" s="66" t="s">
        <v>332</v>
      </c>
      <c r="B29" s="90" t="s">
        <v>222</v>
      </c>
      <c r="C29" s="90"/>
    </row>
    <row r="30" spans="1:3" ht="19.5" customHeight="1">
      <c r="A30" s="66" t="s">
        <v>333</v>
      </c>
      <c r="B30" s="90" t="s">
        <v>222</v>
      </c>
      <c r="C30" s="90"/>
    </row>
    <row r="31" spans="1:3" ht="21.75" customHeight="1">
      <c r="A31" s="66" t="s">
        <v>334</v>
      </c>
      <c r="B31" s="90" t="s">
        <v>223</v>
      </c>
      <c r="C31" s="90"/>
    </row>
    <row r="32" spans="1:3" ht="13.5">
      <c r="A32" s="67" t="s">
        <v>53</v>
      </c>
      <c r="B32" s="89" t="s">
        <v>251</v>
      </c>
      <c r="C32" s="89"/>
    </row>
    <row r="33" spans="1:3" ht="20.25" customHeight="1">
      <c r="A33" s="66" t="s">
        <v>37</v>
      </c>
      <c r="B33" s="89" t="s">
        <v>252</v>
      </c>
      <c r="C33" s="89"/>
    </row>
    <row r="34" spans="1:3" ht="20.25" customHeight="1">
      <c r="A34" s="66" t="s">
        <v>31</v>
      </c>
      <c r="B34" s="89" t="s">
        <v>253</v>
      </c>
      <c r="C34" s="89"/>
    </row>
    <row r="35" spans="1:3" ht="26.25" customHeight="1">
      <c r="A35" s="66" t="s">
        <v>38</v>
      </c>
      <c r="B35" s="89" t="s">
        <v>224</v>
      </c>
      <c r="C35" s="89"/>
    </row>
    <row r="36" spans="1:3" ht="21.75" customHeight="1">
      <c r="A36" s="66" t="s">
        <v>54</v>
      </c>
      <c r="B36" s="87" t="s">
        <v>335</v>
      </c>
      <c r="C36" s="88"/>
    </row>
    <row r="37" spans="1:3" ht="24.6" customHeight="1">
      <c r="A37" s="66" t="s">
        <v>225</v>
      </c>
      <c r="B37" s="89" t="s">
        <v>336</v>
      </c>
      <c r="C37" s="89"/>
    </row>
    <row r="38" spans="1:3" ht="24" customHeight="1">
      <c r="A38" s="67" t="s">
        <v>337</v>
      </c>
      <c r="B38" s="66" t="s">
        <v>83</v>
      </c>
      <c r="C38" s="44" t="s">
        <v>82</v>
      </c>
    </row>
    <row r="39" spans="1:3" ht="32.1" customHeight="1">
      <c r="A39" s="68" t="s">
        <v>86</v>
      </c>
      <c r="B39" s="69" t="s">
        <v>233</v>
      </c>
      <c r="C39" s="70">
        <v>5.6</v>
      </c>
    </row>
    <row r="40" spans="1:3" ht="21.95" customHeight="1">
      <c r="A40" s="68" t="s">
        <v>87</v>
      </c>
      <c r="B40" s="69" t="s">
        <v>235</v>
      </c>
      <c r="C40" s="70">
        <v>12.2</v>
      </c>
    </row>
    <row r="41" spans="1:3" ht="33.950000000000003" customHeight="1">
      <c r="A41" s="68" t="s">
        <v>84</v>
      </c>
      <c r="B41" s="71" t="s">
        <v>234</v>
      </c>
      <c r="C41" s="70">
        <v>6.7</v>
      </c>
    </row>
    <row r="42" spans="1:3" ht="20.100000000000001" customHeight="1">
      <c r="A42" s="68" t="s">
        <v>85</v>
      </c>
      <c r="B42" s="72">
        <v>-1.5</v>
      </c>
      <c r="C42" s="70">
        <v>8.6</v>
      </c>
    </row>
    <row r="43" spans="1:3" ht="55.5" customHeight="1">
      <c r="A43" s="66" t="s">
        <v>51</v>
      </c>
      <c r="B43" s="89" t="s">
        <v>226</v>
      </c>
      <c r="C43" s="89"/>
    </row>
    <row r="44" spans="1:3" ht="20.25" customHeight="1">
      <c r="A44" s="66" t="s">
        <v>32</v>
      </c>
      <c r="B44" s="91" t="s">
        <v>227</v>
      </c>
      <c r="C44" s="89"/>
    </row>
    <row r="45" spans="1:3" ht="19.5" customHeight="1">
      <c r="A45" s="66" t="s">
        <v>39</v>
      </c>
      <c r="B45" s="89" t="s">
        <v>228</v>
      </c>
      <c r="C45" s="89"/>
    </row>
    <row r="46" spans="1:3" ht="41.25" customHeight="1">
      <c r="A46" s="66" t="s">
        <v>33</v>
      </c>
      <c r="B46" s="87" t="s">
        <v>229</v>
      </c>
      <c r="C46" s="88"/>
    </row>
    <row r="47" spans="1:3" ht="39" customHeight="1">
      <c r="A47" s="66" t="s">
        <v>34</v>
      </c>
      <c r="B47" s="87" t="s">
        <v>229</v>
      </c>
      <c r="C47" s="88"/>
    </row>
    <row r="48" spans="1:3" ht="36.75" customHeight="1">
      <c r="A48" s="66" t="s">
        <v>40</v>
      </c>
      <c r="B48" s="89" t="s">
        <v>236</v>
      </c>
      <c r="C48" s="89"/>
    </row>
    <row r="49" spans="1:3" ht="34.5" customHeight="1">
      <c r="A49" s="66" t="s">
        <v>35</v>
      </c>
      <c r="B49" s="89" t="s">
        <v>236</v>
      </c>
      <c r="C49" s="89"/>
    </row>
    <row r="50" spans="1:3" ht="33.75" customHeight="1">
      <c r="A50" s="66" t="s">
        <v>41</v>
      </c>
      <c r="B50" s="89" t="s">
        <v>368</v>
      </c>
      <c r="C50" s="89"/>
    </row>
    <row r="51" spans="1:3" ht="34.5" customHeight="1">
      <c r="A51" s="66" t="s">
        <v>36</v>
      </c>
      <c r="B51" s="89" t="s">
        <v>231</v>
      </c>
      <c r="C51" s="89"/>
    </row>
    <row r="52" spans="1:3" ht="39.75" customHeight="1">
      <c r="A52" s="66" t="s">
        <v>338</v>
      </c>
      <c r="B52" s="89" t="s">
        <v>230</v>
      </c>
      <c r="C52" s="89"/>
    </row>
    <row r="53" spans="1:3" ht="32.25" customHeight="1">
      <c r="A53" s="66" t="s">
        <v>42</v>
      </c>
      <c r="B53" s="89" t="s">
        <v>339</v>
      </c>
      <c r="C53" s="89"/>
    </row>
    <row r="54" spans="1:3" ht="63" customHeight="1">
      <c r="A54" s="66" t="s">
        <v>43</v>
      </c>
      <c r="B54" s="89" t="s">
        <v>232</v>
      </c>
      <c r="C54" s="89"/>
    </row>
    <row r="55" spans="1:3" ht="19.5" customHeight="1">
      <c r="A55" s="66" t="s">
        <v>44</v>
      </c>
      <c r="B55" s="89" t="s">
        <v>340</v>
      </c>
      <c r="C55" s="89"/>
    </row>
    <row r="56" spans="1:3" ht="19.5" customHeight="1">
      <c r="A56" s="66" t="s">
        <v>341</v>
      </c>
      <c r="B56" s="89" t="s">
        <v>342</v>
      </c>
      <c r="C56" s="89"/>
    </row>
    <row r="59" spans="1:3" ht="19.5" customHeight="1">
      <c r="A59" s="42"/>
    </row>
    <row r="60" spans="1:3" ht="19.5" customHeight="1">
      <c r="A60" s="42"/>
    </row>
    <row r="61" spans="1:3" ht="19.5" customHeight="1">
      <c r="A61" s="42"/>
    </row>
  </sheetData>
  <mergeCells count="47">
    <mergeCell ref="B55:C55"/>
    <mergeCell ref="B56:C56"/>
    <mergeCell ref="B49:C49"/>
    <mergeCell ref="B50:C50"/>
    <mergeCell ref="B51:C51"/>
    <mergeCell ref="B52:C52"/>
    <mergeCell ref="B53:C53"/>
    <mergeCell ref="B54:C54"/>
    <mergeCell ref="B30:C30"/>
    <mergeCell ref="B35:C35"/>
    <mergeCell ref="B31:C31"/>
    <mergeCell ref="B32:C32"/>
    <mergeCell ref="B45:C45"/>
    <mergeCell ref="B43:C43"/>
    <mergeCell ref="B44:C44"/>
    <mergeCell ref="B33:C33"/>
    <mergeCell ref="B34:C34"/>
    <mergeCell ref="B37:C37"/>
    <mergeCell ref="A13:A14"/>
    <mergeCell ref="B13:C13"/>
    <mergeCell ref="B14:C14"/>
    <mergeCell ref="A15:A17"/>
    <mergeCell ref="B15:C15"/>
    <mergeCell ref="B16:C16"/>
    <mergeCell ref="B17:C17"/>
    <mergeCell ref="B12:C12"/>
    <mergeCell ref="B3:C3"/>
    <mergeCell ref="B4:C4"/>
    <mergeCell ref="B5:C5"/>
    <mergeCell ref="B10:C10"/>
    <mergeCell ref="B11:C11"/>
    <mergeCell ref="B18:C18"/>
    <mergeCell ref="B24:C24"/>
    <mergeCell ref="B48:C48"/>
    <mergeCell ref="B19:C19"/>
    <mergeCell ref="B20:C20"/>
    <mergeCell ref="B22:C22"/>
    <mergeCell ref="B23:C23"/>
    <mergeCell ref="B21:C21"/>
    <mergeCell ref="B46:C46"/>
    <mergeCell ref="B47:C47"/>
    <mergeCell ref="B25:C25"/>
    <mergeCell ref="B26:C26"/>
    <mergeCell ref="B36:C36"/>
    <mergeCell ref="B27:C27"/>
    <mergeCell ref="B28:C28"/>
    <mergeCell ref="B29:C29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7" orientation="portrait" r:id="rId1"/>
  <headerFooter>
    <oddHeader>&amp;C 1632MV7生物分析方法学验证数据</oddHeader>
    <oddFooter>&amp;C第&amp;P页，共&amp;N页</oddFoot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11"/>
  <sheetViews>
    <sheetView view="pageBreakPreview" zoomScaleNormal="100" zoomScaleSheetLayoutView="100" workbookViewId="0">
      <selection activeCell="G23" sqref="G23"/>
    </sheetView>
  </sheetViews>
  <sheetFormatPr defaultColWidth="8.875" defaultRowHeight="13.5"/>
  <cols>
    <col min="1" max="1" width="21" style="4" customWidth="1"/>
    <col min="2" max="2" width="36.375" style="4" customWidth="1"/>
    <col min="3" max="3" width="29.375" style="4" customWidth="1"/>
    <col min="4" max="16384" width="8.875" style="4"/>
  </cols>
  <sheetData>
    <row r="2" spans="1:3">
      <c r="A2" s="7" t="s">
        <v>192</v>
      </c>
    </row>
    <row r="3" spans="1:3">
      <c r="A3" s="7"/>
    </row>
    <row r="4" spans="1:3" ht="15" customHeight="1">
      <c r="A4" s="73" t="s">
        <v>73</v>
      </c>
      <c r="B4" s="73" t="s">
        <v>188</v>
      </c>
      <c r="C4" s="73" t="s">
        <v>193</v>
      </c>
    </row>
    <row r="5" spans="1:3" ht="15" customHeight="1">
      <c r="A5" s="73" t="s">
        <v>74</v>
      </c>
      <c r="B5" s="73" t="s">
        <v>92</v>
      </c>
      <c r="C5" s="73" t="s">
        <v>93</v>
      </c>
    </row>
    <row r="6" spans="1:3" ht="15" customHeight="1">
      <c r="A6" s="73" t="s">
        <v>75</v>
      </c>
      <c r="B6" s="73" t="s">
        <v>185</v>
      </c>
      <c r="C6" s="73" t="s">
        <v>189</v>
      </c>
    </row>
    <row r="7" spans="1:3" ht="15" customHeight="1">
      <c r="A7" s="73" t="s">
        <v>76</v>
      </c>
      <c r="B7" s="73" t="s">
        <v>186</v>
      </c>
      <c r="C7" s="73" t="s">
        <v>190</v>
      </c>
    </row>
    <row r="8" spans="1:3" ht="15" customHeight="1">
      <c r="A8" s="73" t="s">
        <v>77</v>
      </c>
      <c r="B8" s="74" t="s">
        <v>194</v>
      </c>
      <c r="C8" s="74" t="s">
        <v>195</v>
      </c>
    </row>
    <row r="9" spans="1:3" ht="15" customHeight="1">
      <c r="A9" s="73" t="s">
        <v>78</v>
      </c>
      <c r="B9" s="73" t="s">
        <v>196</v>
      </c>
      <c r="C9" s="73" t="s">
        <v>197</v>
      </c>
    </row>
    <row r="10" spans="1:3" ht="15" customHeight="1">
      <c r="A10" s="73" t="s">
        <v>198</v>
      </c>
      <c r="B10" s="75" t="s">
        <v>187</v>
      </c>
      <c r="C10" s="75" t="s">
        <v>191</v>
      </c>
    </row>
    <row r="11" spans="1:3" ht="15" customHeight="1">
      <c r="A11" s="73" t="s">
        <v>79</v>
      </c>
      <c r="B11" s="73" t="s">
        <v>302</v>
      </c>
      <c r="C11" s="73" t="s">
        <v>303</v>
      </c>
    </row>
  </sheetData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97"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11"/>
  <sheetViews>
    <sheetView view="pageBreakPreview" zoomScaleNormal="100" zoomScaleSheetLayoutView="100" workbookViewId="0">
      <selection activeCell="G23" sqref="G23"/>
    </sheetView>
  </sheetViews>
  <sheetFormatPr defaultColWidth="8.875" defaultRowHeight="13.5"/>
  <cols>
    <col min="1" max="1" width="21" style="4" customWidth="1"/>
    <col min="2" max="2" width="30.875" style="4" customWidth="1"/>
    <col min="3" max="3" width="29.375" style="4" customWidth="1"/>
    <col min="4" max="16384" width="8.875" style="4"/>
  </cols>
  <sheetData>
    <row r="2" spans="1:2">
      <c r="A2" s="7" t="s">
        <v>204</v>
      </c>
    </row>
    <row r="4" spans="1:2" ht="15.75" customHeight="1">
      <c r="A4" s="73" t="s">
        <v>73</v>
      </c>
      <c r="B4" s="73" t="s">
        <v>202</v>
      </c>
    </row>
    <row r="5" spans="1:2" ht="15.75" customHeight="1">
      <c r="A5" s="73" t="s">
        <v>74</v>
      </c>
      <c r="B5" s="73" t="s">
        <v>199</v>
      </c>
    </row>
    <row r="6" spans="1:2" ht="15.75" customHeight="1">
      <c r="A6" s="73" t="s">
        <v>75</v>
      </c>
      <c r="B6" s="73" t="s">
        <v>200</v>
      </c>
    </row>
    <row r="7" spans="1:2" ht="15.75" customHeight="1">
      <c r="A7" s="73" t="s">
        <v>76</v>
      </c>
      <c r="B7" s="73">
        <v>16558</v>
      </c>
    </row>
    <row r="8" spans="1:2" ht="15.75" customHeight="1">
      <c r="A8" s="73" t="s">
        <v>301</v>
      </c>
      <c r="B8" s="76">
        <v>0.997</v>
      </c>
    </row>
    <row r="9" spans="1:2" ht="15.75" customHeight="1">
      <c r="A9" s="73" t="s">
        <v>78</v>
      </c>
      <c r="B9" s="73" t="s">
        <v>361</v>
      </c>
    </row>
    <row r="10" spans="1:2" ht="15.75" customHeight="1">
      <c r="A10" s="73" t="s">
        <v>198</v>
      </c>
      <c r="B10" s="77" t="s">
        <v>203</v>
      </c>
    </row>
    <row r="11" spans="1:2" ht="15.75" customHeight="1">
      <c r="A11" s="73" t="s">
        <v>79</v>
      </c>
      <c r="B11" s="73" t="s">
        <v>201</v>
      </c>
    </row>
  </sheetData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61"/>
  <sheetViews>
    <sheetView view="pageBreakPreview" zoomScaleNormal="100" zoomScaleSheetLayoutView="100" workbookViewId="0">
      <selection activeCell="A26" sqref="A26"/>
    </sheetView>
  </sheetViews>
  <sheetFormatPr defaultColWidth="9" defaultRowHeight="13.5"/>
  <cols>
    <col min="1" max="1" width="25.125" style="1" customWidth="1"/>
    <col min="2" max="2" width="27.75" style="1" bestFit="1" customWidth="1"/>
    <col min="3" max="3" width="25.125" style="1" customWidth="1"/>
    <col min="4" max="4" width="16.5" style="1" customWidth="1"/>
    <col min="5" max="16384" width="9" style="1"/>
  </cols>
  <sheetData>
    <row r="1" spans="1:3" ht="15" customHeight="1"/>
    <row r="2" spans="1:3" ht="15" customHeight="1">
      <c r="A2" s="1" t="s">
        <v>291</v>
      </c>
    </row>
    <row r="3" spans="1:3" ht="15" customHeight="1"/>
    <row r="4" spans="1:3">
      <c r="A4" s="14" t="s">
        <v>292</v>
      </c>
      <c r="B4" s="14" t="s">
        <v>293</v>
      </c>
      <c r="C4" s="11" t="s">
        <v>294</v>
      </c>
    </row>
    <row r="5" spans="1:3" ht="15.75" customHeight="1">
      <c r="A5" s="78" t="s">
        <v>295</v>
      </c>
      <c r="B5" s="86" t="s">
        <v>365</v>
      </c>
      <c r="C5" s="78" t="s">
        <v>296</v>
      </c>
    </row>
    <row r="6" spans="1:3" ht="15.75" customHeight="1">
      <c r="A6" s="78" t="s">
        <v>297</v>
      </c>
      <c r="B6" s="86" t="s">
        <v>365</v>
      </c>
      <c r="C6" s="78" t="s">
        <v>296</v>
      </c>
    </row>
    <row r="7" spans="1:3" ht="15.75" customHeight="1">
      <c r="A7" s="78" t="s">
        <v>298</v>
      </c>
      <c r="B7" s="86" t="s">
        <v>365</v>
      </c>
      <c r="C7" s="78" t="s">
        <v>296</v>
      </c>
    </row>
    <row r="8" spans="1:3" ht="25.5">
      <c r="A8" s="78" t="s">
        <v>299</v>
      </c>
      <c r="B8" s="86" t="s">
        <v>366</v>
      </c>
      <c r="C8" s="78" t="s">
        <v>296</v>
      </c>
    </row>
    <row r="9" spans="1:3" ht="15.75" customHeight="1">
      <c r="A9" s="78" t="s">
        <v>300</v>
      </c>
      <c r="B9" s="86" t="s">
        <v>365</v>
      </c>
      <c r="C9" s="78" t="s">
        <v>296</v>
      </c>
    </row>
    <row r="10" spans="1:3" ht="15.75" customHeight="1">
      <c r="A10" s="78" t="s">
        <v>238</v>
      </c>
      <c r="B10" s="79" t="s">
        <v>239</v>
      </c>
      <c r="C10" s="78" t="s">
        <v>240</v>
      </c>
    </row>
    <row r="11" spans="1:3">
      <c r="A11" s="78" t="s">
        <v>241</v>
      </c>
      <c r="B11" s="86" t="s">
        <v>367</v>
      </c>
      <c r="C11" s="78" t="s">
        <v>242</v>
      </c>
    </row>
    <row r="60" spans="2:2">
      <c r="B60" s="4"/>
    </row>
    <row r="61" spans="2:2">
      <c r="B61" s="4"/>
    </row>
  </sheetData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G23" sqref="G23"/>
    </sheetView>
  </sheetViews>
  <sheetFormatPr defaultRowHeight="15.75" customHeight="1"/>
  <cols>
    <col min="1" max="1" width="21" style="26" customWidth="1"/>
    <col min="2" max="2" width="35.375" style="26" customWidth="1"/>
    <col min="3" max="3" width="18" style="26" customWidth="1"/>
    <col min="4" max="4" width="18.75" style="26" customWidth="1"/>
    <col min="5" max="16384" width="9" style="26"/>
  </cols>
  <sheetData>
    <row r="1" spans="1:4" ht="15.75" customHeight="1">
      <c r="A1" s="6" t="s">
        <v>352</v>
      </c>
    </row>
    <row r="3" spans="1:4" ht="15.75" customHeight="1">
      <c r="A3" s="13" t="s">
        <v>353</v>
      </c>
      <c r="B3" s="13" t="s">
        <v>354</v>
      </c>
      <c r="C3" s="13" t="s">
        <v>355</v>
      </c>
      <c r="D3" s="13" t="s">
        <v>356</v>
      </c>
    </row>
    <row r="4" spans="1:4" ht="15.75" customHeight="1">
      <c r="A4" s="13" t="s">
        <v>357</v>
      </c>
      <c r="B4" s="13" t="s">
        <v>358</v>
      </c>
      <c r="C4" s="13" t="s">
        <v>243</v>
      </c>
      <c r="D4" s="84" t="s">
        <v>248</v>
      </c>
    </row>
    <row r="5" spans="1:4" ht="15.75" customHeight="1">
      <c r="A5" s="13" t="s">
        <v>359</v>
      </c>
      <c r="B5" s="13" t="s">
        <v>358</v>
      </c>
      <c r="C5" s="13" t="s">
        <v>247</v>
      </c>
      <c r="D5" s="84" t="s">
        <v>249</v>
      </c>
    </row>
    <row r="6" spans="1:4" ht="15.75" customHeight="1">
      <c r="A6" s="13" t="s">
        <v>359</v>
      </c>
      <c r="B6" s="13" t="s">
        <v>360</v>
      </c>
      <c r="C6" s="13" t="s">
        <v>244</v>
      </c>
      <c r="D6" s="84" t="s">
        <v>250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8"/>
  <sheetViews>
    <sheetView tabSelected="1" view="pageBreakPreview" zoomScaleNormal="100" zoomScaleSheetLayoutView="100" workbookViewId="0">
      <selection activeCell="G23" sqref="G23"/>
    </sheetView>
  </sheetViews>
  <sheetFormatPr defaultColWidth="8.875" defaultRowHeight="16.5" customHeight="1"/>
  <cols>
    <col min="1" max="1" width="23.375" style="10" customWidth="1"/>
    <col min="2" max="2" width="26.125" style="10" customWidth="1"/>
    <col min="3" max="3" width="30.75" style="10" customWidth="1"/>
    <col min="4" max="16384" width="8.875" style="10"/>
  </cols>
  <sheetData>
    <row r="2" spans="1:3" ht="16.5" customHeight="1">
      <c r="A2" s="10" t="s">
        <v>290</v>
      </c>
    </row>
    <row r="4" spans="1:3" ht="15.75" customHeight="1">
      <c r="A4" s="11" t="s">
        <v>345</v>
      </c>
      <c r="B4" s="11" t="s">
        <v>346</v>
      </c>
      <c r="C4" s="11" t="s">
        <v>347</v>
      </c>
    </row>
    <row r="5" spans="1:3" ht="15.75" customHeight="1">
      <c r="A5" s="93" t="s">
        <v>348</v>
      </c>
      <c r="B5" s="18">
        <v>45531</v>
      </c>
      <c r="C5" s="92" t="s">
        <v>349</v>
      </c>
    </row>
    <row r="6" spans="1:3" ht="15.75" customHeight="1">
      <c r="A6" s="93"/>
      <c r="B6" s="18">
        <v>45532</v>
      </c>
      <c r="C6" s="92"/>
    </row>
    <row r="7" spans="1:3" ht="15.75" customHeight="1">
      <c r="A7" s="93"/>
      <c r="B7" s="18">
        <v>45534</v>
      </c>
      <c r="C7" s="92"/>
    </row>
    <row r="8" spans="1:3" ht="15.75" customHeight="1">
      <c r="A8" s="93"/>
      <c r="B8" s="18">
        <v>45536</v>
      </c>
      <c r="C8" s="92"/>
    </row>
    <row r="9" spans="1:3" ht="16.5" customHeight="1">
      <c r="A9" s="93"/>
      <c r="B9" s="18">
        <v>45539</v>
      </c>
      <c r="C9" s="92"/>
    </row>
    <row r="10" spans="1:3" ht="16.5" customHeight="1">
      <c r="A10" s="93"/>
      <c r="B10" s="18">
        <v>45595</v>
      </c>
      <c r="C10" s="92"/>
    </row>
    <row r="11" spans="1:3" ht="16.5" customHeight="1">
      <c r="A11" s="93"/>
      <c r="B11" s="18">
        <v>45609</v>
      </c>
      <c r="C11" s="92"/>
    </row>
    <row r="12" spans="1:3" ht="16.5" customHeight="1">
      <c r="A12" s="93" t="s">
        <v>350</v>
      </c>
      <c r="B12" s="18">
        <v>45531</v>
      </c>
      <c r="C12" s="92" t="s">
        <v>351</v>
      </c>
    </row>
    <row r="13" spans="1:3" ht="16.5" customHeight="1">
      <c r="A13" s="93"/>
      <c r="B13" s="18">
        <v>45532</v>
      </c>
      <c r="C13" s="92"/>
    </row>
    <row r="14" spans="1:3" ht="16.5" customHeight="1">
      <c r="A14" s="93"/>
      <c r="B14" s="18">
        <v>45534</v>
      </c>
      <c r="C14" s="92"/>
    </row>
    <row r="15" spans="1:3" ht="16.5" customHeight="1">
      <c r="A15" s="93"/>
      <c r="B15" s="18">
        <v>45536</v>
      </c>
      <c r="C15" s="92"/>
    </row>
    <row r="16" spans="1:3" ht="16.5" customHeight="1">
      <c r="A16" s="93"/>
      <c r="B16" s="18">
        <v>45539</v>
      </c>
      <c r="C16" s="92"/>
    </row>
    <row r="17" spans="1:3" ht="16.5" customHeight="1">
      <c r="A17" s="93"/>
      <c r="B17" s="18">
        <v>45595</v>
      </c>
      <c r="C17" s="92"/>
    </row>
    <row r="18" spans="1:3" ht="16.5" customHeight="1">
      <c r="A18" s="93"/>
      <c r="B18" s="18">
        <v>45609</v>
      </c>
      <c r="C18" s="92"/>
    </row>
  </sheetData>
  <mergeCells count="4">
    <mergeCell ref="C5:C11"/>
    <mergeCell ref="C12:C18"/>
    <mergeCell ref="A5:A11"/>
    <mergeCell ref="A12:A18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G27"/>
  <sheetViews>
    <sheetView view="pageBreakPreview" zoomScaleNormal="100" zoomScaleSheetLayoutView="100" workbookViewId="0">
      <selection activeCell="G23" sqref="G23"/>
    </sheetView>
  </sheetViews>
  <sheetFormatPr defaultColWidth="8.875" defaultRowHeight="13.5"/>
  <cols>
    <col min="1" max="1" width="7.875" style="4" customWidth="1"/>
    <col min="2" max="2" width="70.625" style="4" customWidth="1"/>
    <col min="3" max="3" width="13.75" style="4" customWidth="1"/>
    <col min="4" max="4" width="13.625" style="4" customWidth="1"/>
    <col min="5" max="5" width="14.125" style="8" bestFit="1" customWidth="1"/>
    <col min="6" max="6" width="11.75" style="4" customWidth="1"/>
    <col min="7" max="7" width="9.625" style="4" bestFit="1" customWidth="1"/>
    <col min="8" max="16384" width="8.875" style="4"/>
  </cols>
  <sheetData>
    <row r="2" spans="1:6">
      <c r="A2" s="94" t="s">
        <v>99</v>
      </c>
      <c r="B2" s="94"/>
      <c r="C2" s="5"/>
    </row>
    <row r="3" spans="1:6">
      <c r="A3" s="7"/>
    </row>
    <row r="4" spans="1:6" ht="31.5" customHeight="1">
      <c r="A4" s="13" t="s">
        <v>22</v>
      </c>
      <c r="B4" s="13" t="s">
        <v>23</v>
      </c>
      <c r="C4" s="13" t="s">
        <v>114</v>
      </c>
      <c r="D4" s="13" t="s">
        <v>24</v>
      </c>
      <c r="E4" s="13" t="s">
        <v>100</v>
      </c>
      <c r="F4" s="17" t="s">
        <v>115</v>
      </c>
    </row>
    <row r="5" spans="1:6" ht="33" customHeight="1">
      <c r="A5" s="17">
        <v>1</v>
      </c>
      <c r="B5" s="15" t="s">
        <v>96</v>
      </c>
      <c r="C5" s="18">
        <v>45531</v>
      </c>
      <c r="D5" s="18">
        <v>45532</v>
      </c>
      <c r="E5" s="13" t="s">
        <v>94</v>
      </c>
      <c r="F5" s="17" t="s">
        <v>113</v>
      </c>
    </row>
    <row r="6" spans="1:6" ht="33" customHeight="1">
      <c r="A6" s="17">
        <v>2</v>
      </c>
      <c r="B6" s="15" t="s">
        <v>116</v>
      </c>
      <c r="C6" s="18">
        <v>45532</v>
      </c>
      <c r="D6" s="18">
        <v>45532</v>
      </c>
      <c r="E6" s="13" t="s">
        <v>97</v>
      </c>
      <c r="F6" s="17" t="s">
        <v>113</v>
      </c>
    </row>
    <row r="7" spans="1:6" ht="33" customHeight="1">
      <c r="A7" s="17">
        <v>3</v>
      </c>
      <c r="B7" s="15" t="s">
        <v>117</v>
      </c>
      <c r="C7" s="18">
        <v>45534</v>
      </c>
      <c r="D7" s="18">
        <v>45534</v>
      </c>
      <c r="E7" s="13" t="s">
        <v>98</v>
      </c>
      <c r="F7" s="17" t="s">
        <v>113</v>
      </c>
    </row>
    <row r="8" spans="1:6" ht="33" customHeight="1">
      <c r="A8" s="17">
        <v>4</v>
      </c>
      <c r="B8" s="15" t="s">
        <v>95</v>
      </c>
      <c r="C8" s="18">
        <v>45534</v>
      </c>
      <c r="D8" s="18">
        <v>45535</v>
      </c>
      <c r="E8" s="13" t="s">
        <v>101</v>
      </c>
      <c r="F8" s="17" t="s">
        <v>113</v>
      </c>
    </row>
    <row r="9" spans="1:6" ht="33" customHeight="1">
      <c r="A9" s="17">
        <v>5</v>
      </c>
      <c r="B9" s="15" t="s">
        <v>118</v>
      </c>
      <c r="C9" s="18">
        <v>45536</v>
      </c>
      <c r="D9" s="18">
        <v>45536</v>
      </c>
      <c r="E9" s="13" t="s">
        <v>94</v>
      </c>
      <c r="F9" s="17" t="s">
        <v>113</v>
      </c>
    </row>
    <row r="10" spans="1:6" ht="33" customHeight="1">
      <c r="A10" s="17">
        <v>6</v>
      </c>
      <c r="B10" s="15" t="s">
        <v>119</v>
      </c>
      <c r="C10" s="18">
        <v>45536</v>
      </c>
      <c r="D10" s="18">
        <v>45537</v>
      </c>
      <c r="E10" s="13" t="s">
        <v>101</v>
      </c>
      <c r="F10" s="17" t="s">
        <v>113</v>
      </c>
    </row>
    <row r="11" spans="1:6" ht="33" customHeight="1">
      <c r="A11" s="17">
        <v>7</v>
      </c>
      <c r="B11" s="15" t="s">
        <v>112</v>
      </c>
      <c r="C11" s="18">
        <v>45539</v>
      </c>
      <c r="D11" s="18">
        <v>45539</v>
      </c>
      <c r="E11" s="13" t="s">
        <v>94</v>
      </c>
      <c r="F11" s="17" t="s">
        <v>113</v>
      </c>
    </row>
    <row r="12" spans="1:6" ht="33" customHeight="1">
      <c r="A12" s="17">
        <v>8</v>
      </c>
      <c r="B12" s="15" t="s">
        <v>120</v>
      </c>
      <c r="C12" s="18">
        <v>45594</v>
      </c>
      <c r="D12" s="18">
        <v>45595</v>
      </c>
      <c r="E12" s="13" t="s">
        <v>101</v>
      </c>
      <c r="F12" s="17" t="s">
        <v>113</v>
      </c>
    </row>
    <row r="13" spans="1:6" ht="33" customHeight="1">
      <c r="A13" s="17">
        <v>9</v>
      </c>
      <c r="B13" s="15" t="s">
        <v>121</v>
      </c>
      <c r="C13" s="18">
        <v>45595</v>
      </c>
      <c r="D13" s="18">
        <v>45596</v>
      </c>
      <c r="E13" s="13" t="s">
        <v>122</v>
      </c>
      <c r="F13" s="17" t="s">
        <v>113</v>
      </c>
    </row>
    <row r="14" spans="1:6" ht="33" customHeight="1">
      <c r="A14" s="17">
        <v>10</v>
      </c>
      <c r="B14" s="15" t="s">
        <v>128</v>
      </c>
      <c r="C14" s="18">
        <v>45609</v>
      </c>
      <c r="D14" s="18">
        <v>45611</v>
      </c>
      <c r="E14" s="13" t="s">
        <v>94</v>
      </c>
      <c r="F14" s="17" t="s">
        <v>113</v>
      </c>
    </row>
    <row r="15" spans="1:6">
      <c r="A15" s="6" t="s">
        <v>72</v>
      </c>
    </row>
    <row r="16" spans="1:6" ht="14.25" customHeight="1">
      <c r="A16" s="4" t="s">
        <v>123</v>
      </c>
    </row>
    <row r="17" spans="1:7">
      <c r="A17" s="6" t="s">
        <v>124</v>
      </c>
    </row>
    <row r="18" spans="1:7">
      <c r="A18" s="4" t="s">
        <v>125</v>
      </c>
    </row>
    <row r="19" spans="1:7">
      <c r="A19" s="6" t="s">
        <v>126</v>
      </c>
      <c r="E19" s="4"/>
    </row>
    <row r="20" spans="1:7">
      <c r="A20" s="6" t="s">
        <v>127</v>
      </c>
      <c r="E20" s="4"/>
    </row>
    <row r="21" spans="1:7">
      <c r="A21" s="4" t="s">
        <v>129</v>
      </c>
      <c r="E21" s="4"/>
    </row>
    <row r="22" spans="1:7">
      <c r="E22" s="4"/>
    </row>
    <row r="23" spans="1:7">
      <c r="E23" s="4"/>
    </row>
    <row r="24" spans="1:7">
      <c r="E24" s="4"/>
    </row>
    <row r="25" spans="1:7">
      <c r="E25" s="4"/>
      <c r="F25" s="9"/>
      <c r="G25" s="9"/>
    </row>
    <row r="26" spans="1:7">
      <c r="E26" s="4"/>
    </row>
    <row r="27" spans="1:7">
      <c r="E27" s="4"/>
    </row>
  </sheetData>
  <mergeCells count="1">
    <mergeCell ref="A2:B2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5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D15"/>
  <sheetViews>
    <sheetView zoomScaleNormal="100" zoomScaleSheetLayoutView="100" workbookViewId="0">
      <selection activeCell="F33" sqref="F33"/>
    </sheetView>
  </sheetViews>
  <sheetFormatPr defaultColWidth="8.875" defaultRowHeight="13.5"/>
  <cols>
    <col min="1" max="4" width="17.5" style="2" customWidth="1"/>
    <col min="5" max="8" width="17.625" style="2" customWidth="1"/>
    <col min="9" max="16384" width="8.875" style="2"/>
  </cols>
  <sheetData>
    <row r="2" spans="1:4">
      <c r="A2" s="95" t="s">
        <v>289</v>
      </c>
      <c r="B2" s="95"/>
      <c r="C2" s="95"/>
    </row>
    <row r="4" spans="1:4">
      <c r="A4" s="2" t="s">
        <v>92</v>
      </c>
    </row>
    <row r="5" spans="1:4" ht="16.5" customHeight="1">
      <c r="A5" s="96" t="s">
        <v>22</v>
      </c>
      <c r="B5" s="97" t="s">
        <v>267</v>
      </c>
      <c r="C5" s="98"/>
      <c r="D5" s="99"/>
    </row>
    <row r="6" spans="1:4" ht="16.5" customHeight="1">
      <c r="A6" s="96"/>
      <c r="B6" s="13" t="s">
        <v>71</v>
      </c>
      <c r="C6" s="13" t="s">
        <v>25</v>
      </c>
      <c r="D6" s="11" t="s">
        <v>88</v>
      </c>
    </row>
    <row r="7" spans="1:4" ht="16.5" customHeight="1">
      <c r="A7" s="17">
        <v>1</v>
      </c>
      <c r="B7" s="29">
        <v>0.8</v>
      </c>
      <c r="C7" s="29">
        <v>0.7</v>
      </c>
      <c r="D7" s="29">
        <v>0.8</v>
      </c>
    </row>
    <row r="8" spans="1:4" ht="16.5" customHeight="1">
      <c r="A8" s="17">
        <v>3</v>
      </c>
      <c r="B8" s="29">
        <v>0.8</v>
      </c>
      <c r="C8" s="29">
        <v>0.7</v>
      </c>
      <c r="D8" s="29">
        <v>1.1000000000000001</v>
      </c>
    </row>
    <row r="9" spans="1:4" ht="16.5" customHeight="1">
      <c r="A9" s="17">
        <v>4</v>
      </c>
      <c r="B9" s="29">
        <v>0</v>
      </c>
      <c r="C9" s="29">
        <v>0.7</v>
      </c>
      <c r="D9" s="29">
        <v>2.2000000000000002</v>
      </c>
    </row>
    <row r="10" spans="1:4" ht="16.5" customHeight="1">
      <c r="A10" s="17">
        <v>5</v>
      </c>
      <c r="B10" s="29">
        <v>0.8</v>
      </c>
      <c r="C10" s="29">
        <v>0.7</v>
      </c>
      <c r="D10" s="29">
        <v>1.2</v>
      </c>
    </row>
    <row r="11" spans="1:4" ht="16.5" customHeight="1">
      <c r="A11" s="17">
        <v>6</v>
      </c>
      <c r="B11" s="29">
        <v>0.8</v>
      </c>
      <c r="C11" s="29">
        <v>0.7</v>
      </c>
      <c r="D11" s="29">
        <v>1.2</v>
      </c>
    </row>
    <row r="12" spans="1:4" ht="16.5" customHeight="1">
      <c r="A12" s="17">
        <v>7</v>
      </c>
      <c r="B12" s="29">
        <v>0</v>
      </c>
      <c r="C12" s="29">
        <v>0.7</v>
      </c>
      <c r="D12" s="29">
        <v>3.8</v>
      </c>
    </row>
    <row r="13" spans="1:4">
      <c r="A13" s="17">
        <v>8</v>
      </c>
      <c r="B13" s="29">
        <v>0</v>
      </c>
      <c r="C13" s="29">
        <v>0</v>
      </c>
      <c r="D13" s="29">
        <v>3.6</v>
      </c>
    </row>
    <row r="14" spans="1:4">
      <c r="A14" s="17">
        <v>9</v>
      </c>
      <c r="B14" s="29">
        <v>0.8</v>
      </c>
      <c r="C14" s="29">
        <v>0.7</v>
      </c>
      <c r="D14" s="29">
        <v>9.1</v>
      </c>
    </row>
    <row r="15" spans="1:4">
      <c r="A15" s="17">
        <v>10</v>
      </c>
      <c r="B15" s="29">
        <v>0</v>
      </c>
      <c r="C15" s="29">
        <v>0</v>
      </c>
      <c r="D15" s="29">
        <v>3.1</v>
      </c>
    </row>
  </sheetData>
  <mergeCells count="3">
    <mergeCell ref="A2:C2"/>
    <mergeCell ref="A5:A6"/>
    <mergeCell ref="B5:D5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I17"/>
  <sheetViews>
    <sheetView view="pageBreakPreview" zoomScaleNormal="100" zoomScaleSheetLayoutView="100" workbookViewId="0">
      <selection activeCell="G23" sqref="G23"/>
    </sheetView>
  </sheetViews>
  <sheetFormatPr defaultColWidth="8.875" defaultRowHeight="13.5"/>
  <cols>
    <col min="1" max="1" width="9.875" style="4" customWidth="1"/>
    <col min="2" max="2" width="15.125" style="4" customWidth="1"/>
    <col min="3" max="3" width="14.75" style="4" customWidth="1"/>
    <col min="4" max="6" width="11.125" style="4" customWidth="1"/>
    <col min="7" max="7" width="15" style="4" customWidth="1"/>
    <col min="8" max="8" width="9.75" style="4" customWidth="1"/>
    <col min="9" max="9" width="11.875" style="4" customWidth="1"/>
    <col min="10" max="10" width="11.125" style="4" customWidth="1"/>
    <col min="11" max="16384" width="8.875" style="4"/>
  </cols>
  <sheetData>
    <row r="2" spans="1:9" s="2" customFormat="1" ht="18" customHeight="1">
      <c r="A2" s="104" t="s">
        <v>286</v>
      </c>
      <c r="B2" s="104"/>
      <c r="C2" s="104"/>
    </row>
    <row r="3" spans="1:9" s="2" customFormat="1" ht="18" customHeight="1">
      <c r="A3" s="6"/>
      <c r="B3" s="6"/>
      <c r="C3" s="6"/>
    </row>
    <row r="4" spans="1:9" s="2" customFormat="1" ht="18" customHeight="1">
      <c r="A4" s="105" t="s">
        <v>92</v>
      </c>
      <c r="B4" s="105"/>
      <c r="C4" s="105"/>
    </row>
    <row r="5" spans="1:9" ht="70.5" customHeight="1">
      <c r="A5" s="13" t="s">
        <v>68</v>
      </c>
      <c r="B5" s="13" t="s">
        <v>69</v>
      </c>
      <c r="C5" s="13" t="s">
        <v>70</v>
      </c>
      <c r="D5" s="13" t="s">
        <v>89</v>
      </c>
      <c r="E5" s="13" t="s">
        <v>90</v>
      </c>
      <c r="F5" s="13" t="s">
        <v>91</v>
      </c>
      <c r="G5" s="13" t="s">
        <v>246</v>
      </c>
      <c r="H5" s="13" t="s">
        <v>287</v>
      </c>
      <c r="I5" s="13" t="s">
        <v>288</v>
      </c>
    </row>
    <row r="6" spans="1:9" ht="14.25" customHeight="1">
      <c r="A6" s="100">
        <v>1</v>
      </c>
      <c r="B6" s="13">
        <v>0</v>
      </c>
      <c r="C6" s="13">
        <v>0</v>
      </c>
      <c r="D6" s="13">
        <v>17293</v>
      </c>
      <c r="E6" s="13">
        <v>1875465</v>
      </c>
      <c r="F6" s="102">
        <f>ROUND(AVERAGE(D6:D7),0)</f>
        <v>17279</v>
      </c>
      <c r="G6" s="100">
        <f>ROUND(AVERAGE(E6:E7),0)</f>
        <v>1829047</v>
      </c>
      <c r="H6" s="12">
        <f>ROUND(B6/F6*100,1)</f>
        <v>0</v>
      </c>
      <c r="I6" s="12">
        <f>ROUND(C6/G6*100,1)</f>
        <v>0</v>
      </c>
    </row>
    <row r="7" spans="1:9" ht="14.25" customHeight="1">
      <c r="A7" s="101"/>
      <c r="B7" s="13">
        <v>0</v>
      </c>
      <c r="C7" s="13">
        <v>0</v>
      </c>
      <c r="D7" s="13">
        <v>17265</v>
      </c>
      <c r="E7" s="13">
        <v>1782628</v>
      </c>
      <c r="F7" s="103"/>
      <c r="G7" s="101"/>
      <c r="H7" s="12">
        <f>ROUND(B7/F6*100,1)</f>
        <v>0</v>
      </c>
      <c r="I7" s="12">
        <f>ROUND(C7/G6*100,1)</f>
        <v>0</v>
      </c>
    </row>
    <row r="8" spans="1:9" ht="14.25" customHeight="1">
      <c r="A8" s="100">
        <v>3</v>
      </c>
      <c r="B8" s="13">
        <v>0</v>
      </c>
      <c r="C8" s="13">
        <v>0</v>
      </c>
      <c r="D8" s="13">
        <v>26997</v>
      </c>
      <c r="E8" s="13">
        <v>2025178</v>
      </c>
      <c r="F8" s="102">
        <f>ROUND(AVERAGE(D8:D9),0)</f>
        <v>28082</v>
      </c>
      <c r="G8" s="100">
        <f>ROUND(AVERAGE(E8:E9),0)</f>
        <v>2060892</v>
      </c>
      <c r="H8" s="12">
        <f>ROUND(B8/F8*100,1)</f>
        <v>0</v>
      </c>
      <c r="I8" s="12">
        <f>ROUND(C8/G8*100,1)</f>
        <v>0</v>
      </c>
    </row>
    <row r="9" spans="1:9" ht="14.25" customHeight="1">
      <c r="A9" s="101"/>
      <c r="B9" s="13">
        <v>0</v>
      </c>
      <c r="C9" s="13">
        <v>0</v>
      </c>
      <c r="D9" s="13">
        <v>29167</v>
      </c>
      <c r="E9" s="13">
        <v>2096606</v>
      </c>
      <c r="F9" s="103"/>
      <c r="G9" s="101"/>
      <c r="H9" s="12">
        <f>ROUND(B9/F8*100,1)</f>
        <v>0</v>
      </c>
      <c r="I9" s="12">
        <f>ROUND(C9/G8*100,1)</f>
        <v>0</v>
      </c>
    </row>
    <row r="10" spans="1:9" ht="14.25" customHeight="1">
      <c r="A10" s="100">
        <v>5</v>
      </c>
      <c r="B10" s="13">
        <v>0</v>
      </c>
      <c r="C10" s="13">
        <v>0</v>
      </c>
      <c r="D10" s="13">
        <v>19860</v>
      </c>
      <c r="E10" s="13">
        <v>1208618</v>
      </c>
      <c r="F10" s="102">
        <f>ROUND(AVERAGE(D10:D11),0)</f>
        <v>18522</v>
      </c>
      <c r="G10" s="100">
        <f>ROUND(AVERAGE(E10:E11),0)</f>
        <v>1176634</v>
      </c>
      <c r="H10" s="12">
        <f>ROUND(B10/F10*100,1)</f>
        <v>0</v>
      </c>
      <c r="I10" s="12">
        <f>ROUND(C10/G10*100,1)</f>
        <v>0</v>
      </c>
    </row>
    <row r="11" spans="1:9" ht="14.25" customHeight="1">
      <c r="A11" s="101"/>
      <c r="B11" s="13">
        <v>0</v>
      </c>
      <c r="C11" s="13">
        <v>0</v>
      </c>
      <c r="D11" s="13">
        <v>17183</v>
      </c>
      <c r="E11" s="13">
        <v>1144650</v>
      </c>
      <c r="F11" s="103"/>
      <c r="G11" s="101"/>
      <c r="H11" s="12">
        <f>ROUND(B11/F10*100,1)</f>
        <v>0</v>
      </c>
      <c r="I11" s="12">
        <f>ROUND(C11/G10*100,1)</f>
        <v>0</v>
      </c>
    </row>
    <row r="12" spans="1:9" ht="14.25" customHeight="1">
      <c r="A12" s="100">
        <v>7</v>
      </c>
      <c r="B12" s="13">
        <v>0</v>
      </c>
      <c r="C12" s="13">
        <v>0</v>
      </c>
      <c r="D12" s="13">
        <v>16498</v>
      </c>
      <c r="E12" s="13">
        <v>1511134</v>
      </c>
      <c r="F12" s="102">
        <f>ROUND(AVERAGE(D12:D13),0)</f>
        <v>17557</v>
      </c>
      <c r="G12" s="100">
        <f t="shared" ref="G12" si="0">ROUND(AVERAGE(E12:E13),0)</f>
        <v>1557084</v>
      </c>
      <c r="H12" s="12">
        <f>ROUND(B12/F12*100,1)</f>
        <v>0</v>
      </c>
      <c r="I12" s="12">
        <f>ROUND(C12/G12*100,1)</f>
        <v>0</v>
      </c>
    </row>
    <row r="13" spans="1:9" ht="14.25" customHeight="1">
      <c r="A13" s="101"/>
      <c r="B13" s="13">
        <v>0</v>
      </c>
      <c r="C13" s="13">
        <v>0</v>
      </c>
      <c r="D13" s="13">
        <v>18616</v>
      </c>
      <c r="E13" s="13">
        <v>1603034</v>
      </c>
      <c r="F13" s="103"/>
      <c r="G13" s="101"/>
      <c r="H13" s="12">
        <f>ROUND(B13/F12*100,1)</f>
        <v>0</v>
      </c>
      <c r="I13" s="12">
        <f>ROUND(C13/G12*100,1)</f>
        <v>0</v>
      </c>
    </row>
    <row r="14" spans="1:9">
      <c r="A14" s="100">
        <v>9</v>
      </c>
      <c r="B14" s="13">
        <v>0</v>
      </c>
      <c r="C14" s="13">
        <v>0</v>
      </c>
      <c r="D14" s="13">
        <v>11860</v>
      </c>
      <c r="E14" s="13">
        <v>1016432</v>
      </c>
      <c r="F14" s="102">
        <f>ROUND(AVERAGE(D14:D15),0)</f>
        <v>12091</v>
      </c>
      <c r="G14" s="100">
        <f>ROUND(AVERAGE(E14:E15),0)</f>
        <v>991965</v>
      </c>
      <c r="H14" s="12">
        <f>ROUND(B14/F14*100,1)</f>
        <v>0</v>
      </c>
      <c r="I14" s="12">
        <f>ROUND(C14/G14*100,1)</f>
        <v>0</v>
      </c>
    </row>
    <row r="15" spans="1:9">
      <c r="A15" s="101"/>
      <c r="B15" s="13">
        <v>0</v>
      </c>
      <c r="C15" s="13">
        <v>0</v>
      </c>
      <c r="D15" s="13">
        <v>12321</v>
      </c>
      <c r="E15" s="13">
        <v>967497</v>
      </c>
      <c r="F15" s="103"/>
      <c r="G15" s="101"/>
      <c r="H15" s="12">
        <f>ROUND(B15/F14*100,1)</f>
        <v>0</v>
      </c>
      <c r="I15" s="12">
        <f>ROUND(C15/G14*100,1)</f>
        <v>0</v>
      </c>
    </row>
    <row r="16" spans="1:9">
      <c r="A16" s="100">
        <v>10</v>
      </c>
      <c r="B16" s="13">
        <v>0</v>
      </c>
      <c r="C16" s="13">
        <v>0</v>
      </c>
      <c r="D16" s="13">
        <v>22237</v>
      </c>
      <c r="E16" s="13">
        <v>1325449</v>
      </c>
      <c r="F16" s="102">
        <f>ROUND(AVERAGE(D16:D17),0)</f>
        <v>24078</v>
      </c>
      <c r="G16" s="100">
        <f t="shared" ref="G16" si="1">ROUND(AVERAGE(E16:E17),0)</f>
        <v>1354845</v>
      </c>
      <c r="H16" s="12">
        <f>ROUND(B16/F16*100,1)</f>
        <v>0</v>
      </c>
      <c r="I16" s="12">
        <f>ROUND(C16/G16*100,1)</f>
        <v>0</v>
      </c>
    </row>
    <row r="17" spans="1:9">
      <c r="A17" s="101"/>
      <c r="B17" s="13">
        <v>0</v>
      </c>
      <c r="C17" s="13">
        <v>981</v>
      </c>
      <c r="D17" s="13">
        <v>25918</v>
      </c>
      <c r="E17" s="13">
        <v>1384241</v>
      </c>
      <c r="F17" s="103"/>
      <c r="G17" s="101"/>
      <c r="H17" s="12">
        <f>ROUND(B17/F16*100,1)</f>
        <v>0</v>
      </c>
      <c r="I17" s="12">
        <f>ROUND(C17/G16*100,1)</f>
        <v>0.1</v>
      </c>
    </row>
  </sheetData>
  <mergeCells count="20">
    <mergeCell ref="A2:C2"/>
    <mergeCell ref="A4:C4"/>
    <mergeCell ref="A6:A7"/>
    <mergeCell ref="A8:A9"/>
    <mergeCell ref="A10:A11"/>
    <mergeCell ref="A16:A17"/>
    <mergeCell ref="F16:F17"/>
    <mergeCell ref="G16:G17"/>
    <mergeCell ref="F12:F13"/>
    <mergeCell ref="G6:G7"/>
    <mergeCell ref="G8:G9"/>
    <mergeCell ref="G10:G11"/>
    <mergeCell ref="G12:G13"/>
    <mergeCell ref="F6:F7"/>
    <mergeCell ref="F8:F9"/>
    <mergeCell ref="F10:F11"/>
    <mergeCell ref="A12:A13"/>
    <mergeCell ref="F14:F15"/>
    <mergeCell ref="G14:G15"/>
    <mergeCell ref="A14:A15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77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27"/>
  <sheetViews>
    <sheetView view="pageBreakPreview" zoomScaleNormal="100" zoomScaleSheetLayoutView="100" zoomScalePageLayoutView="90" workbookViewId="0">
      <selection activeCell="E32" sqref="E32"/>
    </sheetView>
  </sheetViews>
  <sheetFormatPr defaultColWidth="8.875" defaultRowHeight="13.5"/>
  <cols>
    <col min="1" max="1" width="12.5" style="4" customWidth="1"/>
    <col min="2" max="2" width="12.25" style="4" customWidth="1"/>
    <col min="3" max="3" width="9.375" style="4" customWidth="1"/>
    <col min="4" max="4" width="13.125" style="4" customWidth="1"/>
    <col min="5" max="5" width="9.375" style="4" customWidth="1"/>
    <col min="6" max="6" width="9" style="4" customWidth="1"/>
    <col min="7" max="7" width="8.5" style="4" customWidth="1"/>
    <col min="8" max="16384" width="8.875" style="4"/>
  </cols>
  <sheetData>
    <row r="2" spans="1:7" ht="15.75" customHeight="1">
      <c r="A2" s="94" t="s">
        <v>282</v>
      </c>
      <c r="B2" s="94"/>
      <c r="C2" s="94"/>
      <c r="D2" s="94"/>
    </row>
    <row r="3" spans="1:7" ht="15.75" customHeight="1">
      <c r="A3" s="5"/>
      <c r="B3" s="5"/>
      <c r="C3" s="5"/>
      <c r="D3" s="5"/>
    </row>
    <row r="4" spans="1:7" ht="15.75" customHeight="1">
      <c r="A4" s="94" t="s">
        <v>279</v>
      </c>
      <c r="B4" s="94"/>
      <c r="C4" s="94"/>
      <c r="D4" s="94"/>
    </row>
    <row r="5" spans="1:7" s="8" customFormat="1" ht="30" customHeight="1">
      <c r="A5" s="13" t="s">
        <v>130</v>
      </c>
      <c r="B5" s="13" t="s">
        <v>68</v>
      </c>
      <c r="C5" s="13" t="s">
        <v>131</v>
      </c>
      <c r="D5" s="13" t="s">
        <v>132</v>
      </c>
      <c r="E5" s="13" t="s">
        <v>133</v>
      </c>
      <c r="F5" s="13" t="s">
        <v>283</v>
      </c>
      <c r="G5" s="13" t="s">
        <v>284</v>
      </c>
    </row>
    <row r="6" spans="1:7" s="8" customFormat="1" ht="18" customHeight="1">
      <c r="A6" s="19">
        <v>45532</v>
      </c>
      <c r="B6" s="17">
        <v>1</v>
      </c>
      <c r="C6" s="20">
        <v>5.228E-2</v>
      </c>
      <c r="D6" s="21">
        <v>-1.1100000000000001E-3</v>
      </c>
      <c r="E6" s="22">
        <v>0.99709999999999999</v>
      </c>
      <c r="F6" s="16">
        <v>0.2</v>
      </c>
      <c r="G6" s="16">
        <v>100</v>
      </c>
    </row>
    <row r="7" spans="1:7" s="8" customFormat="1" ht="18" customHeight="1">
      <c r="A7" s="19">
        <v>45534</v>
      </c>
      <c r="B7" s="17">
        <v>3</v>
      </c>
      <c r="C7" s="20">
        <v>6.0409999999999998E-2</v>
      </c>
      <c r="D7" s="21">
        <v>1.421E-3</v>
      </c>
      <c r="E7" s="22">
        <v>0.99829999999999997</v>
      </c>
      <c r="F7" s="16">
        <v>0.2</v>
      </c>
      <c r="G7" s="16">
        <v>100</v>
      </c>
    </row>
    <row r="8" spans="1:7" s="8" customFormat="1" ht="18" customHeight="1">
      <c r="A8" s="19">
        <v>45536</v>
      </c>
      <c r="B8" s="17">
        <v>5</v>
      </c>
      <c r="C8" s="20">
        <v>8.3510000000000001E-2</v>
      </c>
      <c r="D8" s="21">
        <v>-1.1069999999999999E-3</v>
      </c>
      <c r="E8" s="22">
        <v>0.998</v>
      </c>
      <c r="F8" s="16">
        <v>0.2</v>
      </c>
      <c r="G8" s="16">
        <v>100</v>
      </c>
    </row>
    <row r="9" spans="1:7" s="8" customFormat="1" ht="18" customHeight="1">
      <c r="A9" s="19">
        <v>45539</v>
      </c>
      <c r="B9" s="17">
        <v>7</v>
      </c>
      <c r="C9" s="20">
        <v>5.5210000000000002E-2</v>
      </c>
      <c r="D9" s="23">
        <v>-3.1639999999999999E-4</v>
      </c>
      <c r="E9" s="22">
        <v>0.99519999999999997</v>
      </c>
      <c r="F9" s="16">
        <v>0.2</v>
      </c>
      <c r="G9" s="16">
        <v>100</v>
      </c>
    </row>
    <row r="10" spans="1:7" s="8" customFormat="1" ht="18" customHeight="1">
      <c r="A10" s="19">
        <v>45596</v>
      </c>
      <c r="B10" s="17">
        <v>9</v>
      </c>
      <c r="C10" s="20">
        <v>6.0879999999999997E-2</v>
      </c>
      <c r="D10" s="23">
        <v>-2.3240000000000001E-4</v>
      </c>
      <c r="E10" s="22">
        <v>0.99770000000000003</v>
      </c>
      <c r="F10" s="16">
        <v>0.2</v>
      </c>
      <c r="G10" s="16">
        <v>100</v>
      </c>
    </row>
    <row r="11" spans="1:7" s="8" customFormat="1" ht="18" customHeight="1">
      <c r="A11" s="19">
        <v>45611</v>
      </c>
      <c r="B11" s="17">
        <v>10</v>
      </c>
      <c r="C11" s="20">
        <v>8.1820000000000004E-2</v>
      </c>
      <c r="D11" s="23">
        <v>7.7700000000000002E-4</v>
      </c>
      <c r="E11" s="22">
        <v>0.99429999999999996</v>
      </c>
      <c r="F11" s="16">
        <v>0.2</v>
      </c>
      <c r="G11" s="16">
        <v>100</v>
      </c>
    </row>
    <row r="12" spans="1:7" s="8" customFormat="1" ht="16.5" customHeight="1">
      <c r="A12" s="13" t="s">
        <v>102</v>
      </c>
      <c r="B12" s="106"/>
      <c r="C12" s="20">
        <v>6.5689999999999998E-2</v>
      </c>
      <c r="D12" s="24">
        <v>-9.4629999999999994E-5</v>
      </c>
      <c r="E12" s="22">
        <v>0.99680000000000002</v>
      </c>
      <c r="F12" s="106"/>
      <c r="G12" s="106"/>
    </row>
    <row r="13" spans="1:7" s="8" customFormat="1" ht="16.5" customHeight="1">
      <c r="A13" s="13" t="s">
        <v>4</v>
      </c>
      <c r="B13" s="106"/>
      <c r="C13" s="20">
        <v>1.355E-2</v>
      </c>
      <c r="D13" s="21">
        <v>1.018E-3</v>
      </c>
      <c r="E13" s="22">
        <v>1.6000000000000001E-3</v>
      </c>
      <c r="F13" s="106"/>
      <c r="G13" s="106"/>
    </row>
    <row r="14" spans="1:7" s="8" customFormat="1" ht="16.5" customHeight="1">
      <c r="A14" s="13" t="s">
        <v>267</v>
      </c>
      <c r="B14" s="106"/>
      <c r="C14" s="25">
        <v>20.6</v>
      </c>
      <c r="D14" s="25">
        <v>-1075.8</v>
      </c>
      <c r="E14" s="25">
        <v>0.2</v>
      </c>
      <c r="F14" s="106"/>
      <c r="G14" s="106"/>
    </row>
    <row r="15" spans="1:7" s="8" customFormat="1" ht="16.5" customHeight="1">
      <c r="A15" s="13" t="s">
        <v>6</v>
      </c>
      <c r="B15" s="106"/>
      <c r="C15" s="17">
        <v>6</v>
      </c>
      <c r="D15" s="17">
        <v>6</v>
      </c>
      <c r="E15" s="17">
        <v>6</v>
      </c>
      <c r="F15" s="106"/>
      <c r="G15" s="106"/>
    </row>
    <row r="16" spans="1:7">
      <c r="A16" s="4" t="s">
        <v>285</v>
      </c>
    </row>
    <row r="19" spans="1:7">
      <c r="A19" s="4" t="s">
        <v>280</v>
      </c>
    </row>
    <row r="20" spans="1:7" ht="27">
      <c r="A20" s="13" t="s">
        <v>130</v>
      </c>
      <c r="B20" s="13" t="s">
        <v>68</v>
      </c>
      <c r="C20" s="13" t="s">
        <v>131</v>
      </c>
      <c r="D20" s="13" t="s">
        <v>132</v>
      </c>
      <c r="E20" s="13" t="s">
        <v>133</v>
      </c>
      <c r="F20" s="13" t="s">
        <v>283</v>
      </c>
      <c r="G20" s="13" t="s">
        <v>284</v>
      </c>
    </row>
    <row r="21" spans="1:7">
      <c r="A21" s="19">
        <v>45532</v>
      </c>
      <c r="B21" s="17">
        <v>2</v>
      </c>
      <c r="C21" s="20">
        <v>4.5280000000000001E-2</v>
      </c>
      <c r="D21" s="23">
        <v>-1.337E-4</v>
      </c>
      <c r="E21" s="22">
        <v>0.99709999999999999</v>
      </c>
      <c r="F21" s="16">
        <v>0.2</v>
      </c>
      <c r="G21" s="16">
        <v>100</v>
      </c>
    </row>
    <row r="22" spans="1:7">
      <c r="A22" s="13" t="s">
        <v>102</v>
      </c>
      <c r="B22" s="106"/>
      <c r="C22" s="20">
        <v>4.5280000000000001E-2</v>
      </c>
      <c r="D22" s="23">
        <v>-1.337E-4</v>
      </c>
      <c r="E22" s="22">
        <v>0.99709999999999999</v>
      </c>
      <c r="F22" s="106"/>
      <c r="G22" s="106"/>
    </row>
    <row r="23" spans="1:7">
      <c r="A23" s="13" t="s">
        <v>4</v>
      </c>
      <c r="B23" s="106"/>
      <c r="C23" s="37"/>
      <c r="D23" s="38"/>
      <c r="E23" s="39"/>
      <c r="F23" s="106"/>
      <c r="G23" s="106"/>
    </row>
    <row r="24" spans="1:7">
      <c r="A24" s="13" t="s">
        <v>267</v>
      </c>
      <c r="B24" s="106"/>
      <c r="C24" s="40"/>
      <c r="D24" s="40"/>
      <c r="E24" s="40"/>
      <c r="F24" s="106"/>
      <c r="G24" s="106"/>
    </row>
    <row r="25" spans="1:7">
      <c r="A25" s="13" t="s">
        <v>6</v>
      </c>
      <c r="B25" s="106"/>
      <c r="C25" s="17">
        <v>1</v>
      </c>
      <c r="D25" s="17">
        <v>1</v>
      </c>
      <c r="E25" s="17">
        <v>1</v>
      </c>
      <c r="F25" s="106"/>
      <c r="G25" s="106"/>
    </row>
    <row r="26" spans="1:7">
      <c r="A26" s="4" t="s">
        <v>285</v>
      </c>
    </row>
    <row r="27" spans="1:7">
      <c r="A27" s="26" t="s">
        <v>281</v>
      </c>
    </row>
  </sheetData>
  <mergeCells count="6">
    <mergeCell ref="A4:D4"/>
    <mergeCell ref="A2:D2"/>
    <mergeCell ref="B12:B15"/>
    <mergeCell ref="F12:G15"/>
    <mergeCell ref="B22:B25"/>
    <mergeCell ref="F22:G25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R39"/>
  <sheetViews>
    <sheetView view="pageBreakPreview" topLeftCell="A4" zoomScaleNormal="100" zoomScaleSheetLayoutView="100" workbookViewId="0">
      <selection activeCell="A38" sqref="A38"/>
    </sheetView>
  </sheetViews>
  <sheetFormatPr defaultColWidth="8.875" defaultRowHeight="13.5"/>
  <cols>
    <col min="1" max="1" width="12.75" style="26" customWidth="1"/>
    <col min="2" max="2" width="7.375" style="26" customWidth="1"/>
    <col min="3" max="3" width="8.875" style="26" customWidth="1"/>
    <col min="4" max="4" width="6.875" style="26" customWidth="1"/>
    <col min="5" max="5" width="8.125" style="26" customWidth="1"/>
    <col min="6" max="6" width="7.25" style="26" customWidth="1"/>
    <col min="7" max="7" width="8.25" style="26" customWidth="1"/>
    <col min="8" max="8" width="7.375" style="26" customWidth="1"/>
    <col min="9" max="9" width="8.625" style="26" customWidth="1"/>
    <col min="10" max="10" width="6.75" style="26" customWidth="1"/>
    <col min="11" max="11" width="8.75" style="26" customWidth="1"/>
    <col min="12" max="12" width="7.25" style="26" customWidth="1"/>
    <col min="13" max="13" width="9.375" style="26" customWidth="1"/>
    <col min="14" max="14" width="7" style="26" customWidth="1"/>
    <col min="15" max="15" width="8.75" style="26" customWidth="1"/>
    <col min="16" max="16" width="6.625" style="26" customWidth="1"/>
    <col min="17" max="17" width="9.5" style="26" customWidth="1"/>
    <col min="18" max="18" width="6.875" style="26" customWidth="1"/>
    <col min="19" max="16384" width="8.875" style="26"/>
  </cols>
  <sheetData>
    <row r="2" spans="1:18">
      <c r="A2" s="104" t="s">
        <v>278</v>
      </c>
      <c r="B2" s="104"/>
      <c r="C2" s="104"/>
      <c r="D2" s="104"/>
      <c r="E2" s="104"/>
    </row>
    <row r="3" spans="1:18">
      <c r="A3" s="6"/>
      <c r="B3" s="6"/>
      <c r="C3" s="6"/>
      <c r="D3" s="6"/>
      <c r="E3" s="6"/>
    </row>
    <row r="4" spans="1:18">
      <c r="A4" s="105" t="s">
        <v>279</v>
      </c>
      <c r="B4" s="105"/>
      <c r="C4" s="105"/>
      <c r="D4" s="105"/>
      <c r="E4" s="105"/>
    </row>
    <row r="5" spans="1:18" ht="14.1" customHeight="1">
      <c r="A5" s="96" t="s">
        <v>24</v>
      </c>
      <c r="B5" s="96" t="s">
        <v>22</v>
      </c>
      <c r="C5" s="13" t="s">
        <v>7</v>
      </c>
      <c r="D5" s="96" t="s">
        <v>277</v>
      </c>
      <c r="E5" s="13" t="s">
        <v>9</v>
      </c>
      <c r="F5" s="96" t="s">
        <v>277</v>
      </c>
      <c r="G5" s="13" t="s">
        <v>10</v>
      </c>
      <c r="H5" s="96" t="s">
        <v>277</v>
      </c>
      <c r="I5" s="13" t="s">
        <v>11</v>
      </c>
      <c r="J5" s="96" t="s">
        <v>277</v>
      </c>
      <c r="K5" s="13" t="s">
        <v>12</v>
      </c>
      <c r="L5" s="96" t="s">
        <v>266</v>
      </c>
      <c r="M5" s="13" t="s">
        <v>13</v>
      </c>
      <c r="N5" s="96" t="s">
        <v>266</v>
      </c>
      <c r="O5" s="13" t="s">
        <v>14</v>
      </c>
      <c r="P5" s="96" t="s">
        <v>266</v>
      </c>
      <c r="Q5" s="13" t="s">
        <v>16</v>
      </c>
      <c r="R5" s="96" t="s">
        <v>266</v>
      </c>
    </row>
    <row r="6" spans="1:18">
      <c r="A6" s="96"/>
      <c r="B6" s="96"/>
      <c r="C6" s="27">
        <v>0.2</v>
      </c>
      <c r="D6" s="96"/>
      <c r="E6" s="27">
        <v>0.4</v>
      </c>
      <c r="F6" s="96"/>
      <c r="G6" s="27">
        <v>1</v>
      </c>
      <c r="H6" s="96"/>
      <c r="I6" s="27">
        <v>5</v>
      </c>
      <c r="J6" s="96"/>
      <c r="K6" s="27">
        <v>20</v>
      </c>
      <c r="L6" s="96"/>
      <c r="M6" s="27">
        <v>40</v>
      </c>
      <c r="N6" s="96"/>
      <c r="O6" s="27">
        <v>80</v>
      </c>
      <c r="P6" s="96"/>
      <c r="Q6" s="27">
        <v>100</v>
      </c>
      <c r="R6" s="96"/>
    </row>
    <row r="7" spans="1:18">
      <c r="A7" s="96"/>
      <c r="B7" s="96"/>
      <c r="C7" s="28" t="s">
        <v>15</v>
      </c>
      <c r="D7" s="96"/>
      <c r="E7" s="28" t="s">
        <v>15</v>
      </c>
      <c r="F7" s="96"/>
      <c r="G7" s="28" t="s">
        <v>15</v>
      </c>
      <c r="H7" s="96"/>
      <c r="I7" s="28" t="s">
        <v>15</v>
      </c>
      <c r="J7" s="96"/>
      <c r="K7" s="28" t="s">
        <v>15</v>
      </c>
      <c r="L7" s="96"/>
      <c r="M7" s="28" t="s">
        <v>15</v>
      </c>
      <c r="N7" s="96"/>
      <c r="O7" s="28" t="s">
        <v>15</v>
      </c>
      <c r="P7" s="96"/>
      <c r="Q7" s="28" t="s">
        <v>15</v>
      </c>
      <c r="R7" s="96"/>
    </row>
    <row r="8" spans="1:18">
      <c r="A8" s="110">
        <v>45532</v>
      </c>
      <c r="B8" s="100">
        <v>1</v>
      </c>
      <c r="C8" s="3">
        <v>0.19800000000000001</v>
      </c>
      <c r="D8" s="29">
        <v>-1</v>
      </c>
      <c r="E8" s="3">
        <v>0.39800000000000002</v>
      </c>
      <c r="F8" s="29">
        <v>-0.5</v>
      </c>
      <c r="G8" s="3">
        <v>1.008</v>
      </c>
      <c r="H8" s="29">
        <v>0.8</v>
      </c>
      <c r="I8" s="3">
        <v>5.24</v>
      </c>
      <c r="J8" s="29">
        <v>4.8</v>
      </c>
      <c r="K8" s="3">
        <v>20.693999999999999</v>
      </c>
      <c r="L8" s="29">
        <v>3.5</v>
      </c>
      <c r="M8" s="3">
        <v>38.42</v>
      </c>
      <c r="N8" s="29">
        <v>-4</v>
      </c>
      <c r="O8" s="3">
        <v>83.447999999999993</v>
      </c>
      <c r="P8" s="29">
        <v>4.3</v>
      </c>
      <c r="Q8" s="3">
        <v>102.56100000000001</v>
      </c>
      <c r="R8" s="29">
        <v>2.6</v>
      </c>
    </row>
    <row r="9" spans="1:18">
      <c r="A9" s="111"/>
      <c r="B9" s="101"/>
      <c r="C9" s="3">
        <v>0.20699999999999999</v>
      </c>
      <c r="D9" s="29">
        <v>3.5</v>
      </c>
      <c r="E9" s="3">
        <v>0.38200000000000001</v>
      </c>
      <c r="F9" s="29">
        <v>-4.5</v>
      </c>
      <c r="G9" s="3">
        <v>1.0249999999999999</v>
      </c>
      <c r="H9" s="29">
        <v>2.5</v>
      </c>
      <c r="I9" s="3">
        <v>4.5759999999999996</v>
      </c>
      <c r="J9" s="29">
        <v>-8.5</v>
      </c>
      <c r="K9" s="3">
        <v>19.643000000000001</v>
      </c>
      <c r="L9" s="29">
        <v>-1.8</v>
      </c>
      <c r="M9" s="3">
        <v>36.307000000000002</v>
      </c>
      <c r="N9" s="29">
        <v>-9.1999999999999993</v>
      </c>
      <c r="O9" s="3">
        <v>80.879000000000005</v>
      </c>
      <c r="P9" s="29">
        <v>1.1000000000000001</v>
      </c>
      <c r="Q9" s="3">
        <v>106.941</v>
      </c>
      <c r="R9" s="29">
        <v>6.9</v>
      </c>
    </row>
    <row r="10" spans="1:18">
      <c r="A10" s="110">
        <v>45534</v>
      </c>
      <c r="B10" s="100">
        <v>3</v>
      </c>
      <c r="C10" s="3">
        <v>0.19700000000000001</v>
      </c>
      <c r="D10" s="29">
        <v>-1.5</v>
      </c>
      <c r="E10" s="3">
        <v>0.37</v>
      </c>
      <c r="F10" s="29">
        <v>-7.5</v>
      </c>
      <c r="G10" s="3">
        <v>1.002</v>
      </c>
      <c r="H10" s="29">
        <v>0.2</v>
      </c>
      <c r="I10" s="3">
        <v>5.2130000000000001</v>
      </c>
      <c r="J10" s="29">
        <v>4.3</v>
      </c>
      <c r="K10" s="3">
        <v>20.45</v>
      </c>
      <c r="L10" s="29">
        <v>2.2999999999999998</v>
      </c>
      <c r="M10" s="3">
        <v>40.61</v>
      </c>
      <c r="N10" s="29">
        <v>1.5</v>
      </c>
      <c r="O10" s="3">
        <v>81.177999999999997</v>
      </c>
      <c r="P10" s="29">
        <v>1.5</v>
      </c>
      <c r="Q10" s="3">
        <v>104.01900000000001</v>
      </c>
      <c r="R10" s="29">
        <v>4</v>
      </c>
    </row>
    <row r="11" spans="1:18">
      <c r="A11" s="111"/>
      <c r="B11" s="101"/>
      <c r="C11" s="3">
        <v>0.20699999999999999</v>
      </c>
      <c r="D11" s="29">
        <v>3.5</v>
      </c>
      <c r="E11" s="3">
        <v>0.41399999999999998</v>
      </c>
      <c r="F11" s="29">
        <v>3.5</v>
      </c>
      <c r="G11" s="3">
        <v>0.996</v>
      </c>
      <c r="H11" s="29">
        <v>-0.4</v>
      </c>
      <c r="I11" s="3">
        <v>4.8099999999999996</v>
      </c>
      <c r="J11" s="29">
        <v>-3.8</v>
      </c>
      <c r="K11" s="3">
        <v>20.018999999999998</v>
      </c>
      <c r="L11" s="29">
        <v>0.1</v>
      </c>
      <c r="M11" s="3">
        <v>39.381</v>
      </c>
      <c r="N11" s="29">
        <v>-1.5</v>
      </c>
      <c r="O11" s="3">
        <v>74.236000000000004</v>
      </c>
      <c r="P11" s="29">
        <v>-7.2</v>
      </c>
      <c r="Q11" s="3">
        <v>101.102</v>
      </c>
      <c r="R11" s="29">
        <v>1.1000000000000001</v>
      </c>
    </row>
    <row r="12" spans="1:18">
      <c r="A12" s="112">
        <v>45536</v>
      </c>
      <c r="B12" s="96">
        <v>5</v>
      </c>
      <c r="C12" s="3">
        <v>0.21</v>
      </c>
      <c r="D12" s="29">
        <v>5</v>
      </c>
      <c r="E12" s="3">
        <v>0.371</v>
      </c>
      <c r="F12" s="29">
        <v>-7.3</v>
      </c>
      <c r="G12" s="3">
        <v>0.996</v>
      </c>
      <c r="H12" s="29">
        <v>-0.4</v>
      </c>
      <c r="I12" s="3">
        <v>4.9790000000000001</v>
      </c>
      <c r="J12" s="29">
        <v>-0.4</v>
      </c>
      <c r="K12" s="3">
        <v>20.321999999999999</v>
      </c>
      <c r="L12" s="29">
        <v>1.6</v>
      </c>
      <c r="M12" s="3">
        <v>41.923999999999999</v>
      </c>
      <c r="N12" s="29">
        <v>4.8</v>
      </c>
      <c r="O12" s="3">
        <v>81.159000000000006</v>
      </c>
      <c r="P12" s="29">
        <v>1.4</v>
      </c>
      <c r="Q12" s="3">
        <v>104.401</v>
      </c>
      <c r="R12" s="29">
        <v>4.4000000000000004</v>
      </c>
    </row>
    <row r="13" spans="1:18">
      <c r="A13" s="112"/>
      <c r="B13" s="96"/>
      <c r="C13" s="3">
        <v>0.193</v>
      </c>
      <c r="D13" s="29">
        <v>-3.5</v>
      </c>
      <c r="E13" s="3">
        <v>0.41399999999999998</v>
      </c>
      <c r="F13" s="29">
        <v>3.5</v>
      </c>
      <c r="G13" s="3">
        <v>1.03</v>
      </c>
      <c r="H13" s="29">
        <v>3</v>
      </c>
      <c r="I13" s="3">
        <v>4.6639999999999997</v>
      </c>
      <c r="J13" s="29">
        <v>-6.7</v>
      </c>
      <c r="K13" s="3">
        <v>20.378</v>
      </c>
      <c r="L13" s="29">
        <v>1.9</v>
      </c>
      <c r="M13" s="3">
        <v>39.289000000000001</v>
      </c>
      <c r="N13" s="29">
        <v>-1.8</v>
      </c>
      <c r="O13" s="3">
        <v>78.037999999999997</v>
      </c>
      <c r="P13" s="29">
        <v>-2.5</v>
      </c>
      <c r="Q13" s="3">
        <v>96.686999999999998</v>
      </c>
      <c r="R13" s="29">
        <v>-3.3</v>
      </c>
    </row>
    <row r="14" spans="1:18">
      <c r="A14" s="112">
        <v>45539</v>
      </c>
      <c r="B14" s="96">
        <v>7</v>
      </c>
      <c r="C14" s="3">
        <v>0.20300000000000001</v>
      </c>
      <c r="D14" s="29">
        <v>1.5</v>
      </c>
      <c r="E14" s="3">
        <v>0.371</v>
      </c>
      <c r="F14" s="29">
        <v>-7.3</v>
      </c>
      <c r="G14" s="3">
        <v>0.92</v>
      </c>
      <c r="H14" s="29">
        <v>-8</v>
      </c>
      <c r="I14" s="3">
        <v>4.8959999999999999</v>
      </c>
      <c r="J14" s="29">
        <v>-2.1</v>
      </c>
      <c r="K14" s="3">
        <v>19.866</v>
      </c>
      <c r="L14" s="29">
        <v>-0.7</v>
      </c>
      <c r="M14" s="3">
        <v>38.951999999999998</v>
      </c>
      <c r="N14" s="29">
        <v>-2.6</v>
      </c>
      <c r="O14" s="3">
        <v>77.263999999999996</v>
      </c>
      <c r="P14" s="29">
        <v>-3.4</v>
      </c>
      <c r="Q14" s="3">
        <v>105.544</v>
      </c>
      <c r="R14" s="29">
        <v>5.5</v>
      </c>
    </row>
    <row r="15" spans="1:18">
      <c r="A15" s="112"/>
      <c r="B15" s="96"/>
      <c r="C15" s="3">
        <v>0.216</v>
      </c>
      <c r="D15" s="29">
        <v>8</v>
      </c>
      <c r="E15" s="3">
        <v>0.36499999999999999</v>
      </c>
      <c r="F15" s="29">
        <v>-8.8000000000000007</v>
      </c>
      <c r="G15" s="3">
        <v>0.99299999999999999</v>
      </c>
      <c r="H15" s="29">
        <v>-0.7</v>
      </c>
      <c r="I15" s="3">
        <v>5.0149999999999997</v>
      </c>
      <c r="J15" s="29">
        <v>0.3</v>
      </c>
      <c r="K15" s="3">
        <v>22.048999999999999</v>
      </c>
      <c r="L15" s="29">
        <v>10.199999999999999</v>
      </c>
      <c r="M15" s="3">
        <v>39.695999999999998</v>
      </c>
      <c r="N15" s="29">
        <v>-0.8</v>
      </c>
      <c r="O15" s="3">
        <v>86.789000000000001</v>
      </c>
      <c r="P15" s="29">
        <v>8.5</v>
      </c>
      <c r="Q15" s="3" t="s">
        <v>134</v>
      </c>
      <c r="R15" s="30"/>
    </row>
    <row r="16" spans="1:18">
      <c r="A16" s="112">
        <v>45596</v>
      </c>
      <c r="B16" s="96">
        <v>9</v>
      </c>
      <c r="C16" s="3">
        <v>0.19500000000000001</v>
      </c>
      <c r="D16" s="29">
        <v>-2.5</v>
      </c>
      <c r="E16" s="3">
        <v>0.38500000000000001</v>
      </c>
      <c r="F16" s="29">
        <v>-3.8</v>
      </c>
      <c r="G16" s="3">
        <v>1.02</v>
      </c>
      <c r="H16" s="29">
        <v>2</v>
      </c>
      <c r="I16" s="3">
        <v>4.7</v>
      </c>
      <c r="J16" s="29">
        <v>-6</v>
      </c>
      <c r="K16" s="3">
        <v>20.757000000000001</v>
      </c>
      <c r="L16" s="29">
        <v>3.8</v>
      </c>
      <c r="M16" s="3">
        <v>38.469000000000001</v>
      </c>
      <c r="N16" s="29">
        <v>-3.8</v>
      </c>
      <c r="O16" s="3">
        <v>76.132000000000005</v>
      </c>
      <c r="P16" s="29">
        <v>-4.8</v>
      </c>
      <c r="Q16" s="3">
        <v>101.65600000000001</v>
      </c>
      <c r="R16" s="29">
        <v>1.7</v>
      </c>
    </row>
    <row r="17" spans="1:18">
      <c r="A17" s="112"/>
      <c r="B17" s="96"/>
      <c r="C17" s="3">
        <v>0.21299999999999999</v>
      </c>
      <c r="D17" s="29">
        <v>6.5</v>
      </c>
      <c r="E17" s="3">
        <v>0.38200000000000001</v>
      </c>
      <c r="F17" s="29">
        <v>-4.5</v>
      </c>
      <c r="G17" s="3">
        <v>0.98799999999999999</v>
      </c>
      <c r="H17" s="29">
        <v>-1.2</v>
      </c>
      <c r="I17" s="3">
        <v>4.9420000000000002</v>
      </c>
      <c r="J17" s="29">
        <v>-1.2</v>
      </c>
      <c r="K17" s="3">
        <v>21.341000000000001</v>
      </c>
      <c r="L17" s="29">
        <v>6.7</v>
      </c>
      <c r="M17" s="3">
        <v>39.901000000000003</v>
      </c>
      <c r="N17" s="29">
        <v>-0.2</v>
      </c>
      <c r="O17" s="3">
        <v>82.058999999999997</v>
      </c>
      <c r="P17" s="29">
        <v>2.6</v>
      </c>
      <c r="Q17" s="3">
        <v>104.773</v>
      </c>
      <c r="R17" s="29">
        <v>4.8</v>
      </c>
    </row>
    <row r="18" spans="1:18">
      <c r="A18" s="112">
        <v>45611</v>
      </c>
      <c r="B18" s="96">
        <v>10</v>
      </c>
      <c r="C18" s="3">
        <v>0.19600000000000001</v>
      </c>
      <c r="D18" s="29">
        <v>-2</v>
      </c>
      <c r="E18" s="3">
        <v>0.41099999999999998</v>
      </c>
      <c r="F18" s="29">
        <v>2.8</v>
      </c>
      <c r="G18" s="3">
        <v>0.97799999999999998</v>
      </c>
      <c r="H18" s="29">
        <v>-2.2000000000000002</v>
      </c>
      <c r="I18" s="3">
        <v>5.2720000000000002</v>
      </c>
      <c r="J18" s="29">
        <v>5.4</v>
      </c>
      <c r="K18" s="3">
        <v>21.241</v>
      </c>
      <c r="L18" s="29">
        <v>6.2</v>
      </c>
      <c r="M18" s="3">
        <v>40.741</v>
      </c>
      <c r="N18" s="29">
        <v>1.9</v>
      </c>
      <c r="O18" s="3">
        <v>79.873999999999995</v>
      </c>
      <c r="P18" s="29">
        <v>-0.2</v>
      </c>
      <c r="Q18" s="3">
        <v>100.096</v>
      </c>
      <c r="R18" s="29">
        <v>0.1</v>
      </c>
    </row>
    <row r="19" spans="1:18">
      <c r="A19" s="112"/>
      <c r="B19" s="96"/>
      <c r="C19" s="3">
        <v>0.219</v>
      </c>
      <c r="D19" s="29">
        <v>9.5</v>
      </c>
      <c r="E19" s="3">
        <v>0.35299999999999998</v>
      </c>
      <c r="F19" s="29">
        <v>-11.8</v>
      </c>
      <c r="G19" s="3">
        <v>0.874</v>
      </c>
      <c r="H19" s="29">
        <v>-12.6</v>
      </c>
      <c r="I19" s="3">
        <v>4.5229999999999997</v>
      </c>
      <c r="J19" s="29">
        <v>-9.5</v>
      </c>
      <c r="K19" s="3">
        <v>20.513000000000002</v>
      </c>
      <c r="L19" s="29">
        <v>2.6</v>
      </c>
      <c r="M19" s="3">
        <v>42.96</v>
      </c>
      <c r="N19" s="29">
        <v>7.4</v>
      </c>
      <c r="O19" s="3">
        <v>82.617999999999995</v>
      </c>
      <c r="P19" s="29">
        <v>3.3</v>
      </c>
      <c r="Q19" s="3">
        <v>99.162000000000006</v>
      </c>
      <c r="R19" s="29">
        <v>-0.8</v>
      </c>
    </row>
    <row r="20" spans="1:18" ht="14.1" customHeight="1">
      <c r="A20" s="13" t="s">
        <v>26</v>
      </c>
      <c r="B20" s="107"/>
      <c r="C20" s="3">
        <v>0.20499999999999999</v>
      </c>
      <c r="D20" s="107"/>
      <c r="E20" s="3">
        <v>0.38500000000000001</v>
      </c>
      <c r="F20" s="107"/>
      <c r="G20" s="3">
        <v>0.98599999999999999</v>
      </c>
      <c r="H20" s="107"/>
      <c r="I20" s="3">
        <v>4.9029999999999996</v>
      </c>
      <c r="J20" s="107"/>
      <c r="K20" s="3">
        <v>20.606000000000002</v>
      </c>
      <c r="L20" s="107"/>
      <c r="M20" s="3">
        <v>39.720999999999997</v>
      </c>
      <c r="N20" s="107"/>
      <c r="O20" s="3">
        <v>80.305999999999997</v>
      </c>
      <c r="P20" s="107"/>
      <c r="Q20" s="3">
        <v>102.449</v>
      </c>
      <c r="R20" s="107"/>
    </row>
    <row r="21" spans="1:18" ht="14.1" customHeight="1">
      <c r="A21" s="13" t="s">
        <v>4</v>
      </c>
      <c r="B21" s="108"/>
      <c r="C21" s="3">
        <v>8.9999999999999993E-3</v>
      </c>
      <c r="D21" s="108"/>
      <c r="E21" s="3">
        <v>0.02</v>
      </c>
      <c r="F21" s="108"/>
      <c r="G21" s="3">
        <v>4.4999999999999998E-2</v>
      </c>
      <c r="H21" s="108"/>
      <c r="I21" s="3">
        <v>0.25700000000000001</v>
      </c>
      <c r="J21" s="108"/>
      <c r="K21" s="3">
        <v>0.67700000000000005</v>
      </c>
      <c r="L21" s="108"/>
      <c r="M21" s="3">
        <v>1.7330000000000001</v>
      </c>
      <c r="N21" s="108"/>
      <c r="O21" s="3">
        <v>3.4510000000000001</v>
      </c>
      <c r="P21" s="108"/>
      <c r="Q21" s="3">
        <v>3.0569999999999999</v>
      </c>
      <c r="R21" s="108"/>
    </row>
    <row r="22" spans="1:18" ht="14.1" customHeight="1">
      <c r="A22" s="13" t="s">
        <v>267</v>
      </c>
      <c r="B22" s="108"/>
      <c r="C22" s="29">
        <v>4.4000000000000004</v>
      </c>
      <c r="D22" s="108"/>
      <c r="E22" s="29">
        <v>5.2</v>
      </c>
      <c r="F22" s="108"/>
      <c r="G22" s="29">
        <v>4.5999999999999996</v>
      </c>
      <c r="H22" s="108"/>
      <c r="I22" s="29">
        <v>5.2</v>
      </c>
      <c r="J22" s="108"/>
      <c r="K22" s="29">
        <v>3.3</v>
      </c>
      <c r="L22" s="108"/>
      <c r="M22" s="29">
        <v>4.4000000000000004</v>
      </c>
      <c r="N22" s="108"/>
      <c r="O22" s="29">
        <v>4.3</v>
      </c>
      <c r="P22" s="108"/>
      <c r="Q22" s="29">
        <v>3</v>
      </c>
      <c r="R22" s="108"/>
    </row>
    <row r="23" spans="1:18" ht="14.1" customHeight="1">
      <c r="A23" s="13" t="s">
        <v>277</v>
      </c>
      <c r="B23" s="108"/>
      <c r="C23" s="29">
        <v>2.5</v>
      </c>
      <c r="D23" s="108"/>
      <c r="E23" s="29">
        <v>-3.8</v>
      </c>
      <c r="F23" s="108"/>
      <c r="G23" s="29">
        <v>-1.4</v>
      </c>
      <c r="H23" s="108"/>
      <c r="I23" s="29">
        <v>-1.9</v>
      </c>
      <c r="J23" s="108"/>
      <c r="K23" s="29">
        <v>3</v>
      </c>
      <c r="L23" s="108"/>
      <c r="M23" s="29">
        <v>-0.7</v>
      </c>
      <c r="N23" s="108"/>
      <c r="O23" s="29">
        <v>0.4</v>
      </c>
      <c r="P23" s="108"/>
      <c r="Q23" s="29">
        <v>2.4</v>
      </c>
      <c r="R23" s="108"/>
    </row>
    <row r="24" spans="1:18" ht="14.1" customHeight="1">
      <c r="A24" s="13" t="s">
        <v>6</v>
      </c>
      <c r="B24" s="109"/>
      <c r="C24" s="13">
        <v>12</v>
      </c>
      <c r="D24" s="109"/>
      <c r="E24" s="13">
        <v>12</v>
      </c>
      <c r="F24" s="109"/>
      <c r="G24" s="13">
        <v>12</v>
      </c>
      <c r="H24" s="109"/>
      <c r="I24" s="13">
        <v>12</v>
      </c>
      <c r="J24" s="109"/>
      <c r="K24" s="13">
        <v>12</v>
      </c>
      <c r="L24" s="109"/>
      <c r="M24" s="13">
        <v>12</v>
      </c>
      <c r="N24" s="109"/>
      <c r="O24" s="13">
        <v>12</v>
      </c>
      <c r="P24" s="109"/>
      <c r="Q24" s="13">
        <v>11</v>
      </c>
      <c r="R24" s="109"/>
    </row>
    <row r="25" spans="1:18">
      <c r="A25" s="6" t="s">
        <v>135</v>
      </c>
    </row>
    <row r="26" spans="1:18">
      <c r="A26" s="113"/>
      <c r="B26" s="113"/>
      <c r="C26" s="113"/>
      <c r="D26" s="113"/>
    </row>
    <row r="27" spans="1:18">
      <c r="A27" s="4" t="s">
        <v>280</v>
      </c>
    </row>
    <row r="28" spans="1:18">
      <c r="A28" s="96" t="s">
        <v>24</v>
      </c>
      <c r="B28" s="96" t="s">
        <v>22</v>
      </c>
      <c r="C28" s="13" t="s">
        <v>7</v>
      </c>
      <c r="D28" s="96" t="s">
        <v>277</v>
      </c>
      <c r="E28" s="13" t="s">
        <v>9</v>
      </c>
      <c r="F28" s="96" t="s">
        <v>277</v>
      </c>
      <c r="G28" s="13" t="s">
        <v>10</v>
      </c>
      <c r="H28" s="96" t="s">
        <v>277</v>
      </c>
      <c r="I28" s="13" t="s">
        <v>11</v>
      </c>
      <c r="J28" s="96" t="s">
        <v>277</v>
      </c>
      <c r="K28" s="13" t="s">
        <v>12</v>
      </c>
      <c r="L28" s="96" t="s">
        <v>266</v>
      </c>
      <c r="M28" s="13" t="s">
        <v>13</v>
      </c>
      <c r="N28" s="96" t="s">
        <v>266</v>
      </c>
      <c r="O28" s="13" t="s">
        <v>14</v>
      </c>
      <c r="P28" s="96" t="s">
        <v>266</v>
      </c>
      <c r="Q28" s="13" t="s">
        <v>16</v>
      </c>
      <c r="R28" s="96" t="s">
        <v>266</v>
      </c>
    </row>
    <row r="29" spans="1:18">
      <c r="A29" s="96"/>
      <c r="B29" s="96"/>
      <c r="C29" s="27">
        <v>0.2</v>
      </c>
      <c r="D29" s="96"/>
      <c r="E29" s="27">
        <v>0.4</v>
      </c>
      <c r="F29" s="96"/>
      <c r="G29" s="27">
        <v>1</v>
      </c>
      <c r="H29" s="96"/>
      <c r="I29" s="27">
        <v>5</v>
      </c>
      <c r="J29" s="96"/>
      <c r="K29" s="27">
        <v>20</v>
      </c>
      <c r="L29" s="96"/>
      <c r="M29" s="27">
        <v>40</v>
      </c>
      <c r="N29" s="96"/>
      <c r="O29" s="27">
        <v>80</v>
      </c>
      <c r="P29" s="96"/>
      <c r="Q29" s="27">
        <v>100</v>
      </c>
      <c r="R29" s="96"/>
    </row>
    <row r="30" spans="1:18">
      <c r="A30" s="96"/>
      <c r="B30" s="96"/>
      <c r="C30" s="28" t="s">
        <v>15</v>
      </c>
      <c r="D30" s="96"/>
      <c r="E30" s="28" t="s">
        <v>15</v>
      </c>
      <c r="F30" s="96"/>
      <c r="G30" s="28" t="s">
        <v>15</v>
      </c>
      <c r="H30" s="96"/>
      <c r="I30" s="28" t="s">
        <v>15</v>
      </c>
      <c r="J30" s="96"/>
      <c r="K30" s="28" t="s">
        <v>15</v>
      </c>
      <c r="L30" s="96"/>
      <c r="M30" s="28" t="s">
        <v>15</v>
      </c>
      <c r="N30" s="96"/>
      <c r="O30" s="28" t="s">
        <v>15</v>
      </c>
      <c r="P30" s="96"/>
      <c r="Q30" s="28" t="s">
        <v>15</v>
      </c>
      <c r="R30" s="96"/>
    </row>
    <row r="31" spans="1:18">
      <c r="A31" s="110">
        <v>45532</v>
      </c>
      <c r="B31" s="100">
        <v>2</v>
      </c>
      <c r="C31" s="3">
        <v>0.20200000000000001</v>
      </c>
      <c r="D31" s="29">
        <v>1</v>
      </c>
      <c r="E31" s="3">
        <v>0.39</v>
      </c>
      <c r="F31" s="29">
        <v>-2.5</v>
      </c>
      <c r="G31" s="3">
        <v>1.0249999999999999</v>
      </c>
      <c r="H31" s="29">
        <v>2.5</v>
      </c>
      <c r="I31" s="3">
        <v>4.8259999999999996</v>
      </c>
      <c r="J31" s="29">
        <v>-3.5</v>
      </c>
      <c r="K31" s="3">
        <v>19.460999999999999</v>
      </c>
      <c r="L31" s="29">
        <v>-2.7</v>
      </c>
      <c r="M31" s="3">
        <v>40.058999999999997</v>
      </c>
      <c r="N31" s="29">
        <v>0.1</v>
      </c>
      <c r="O31" s="3">
        <v>76.775999999999996</v>
      </c>
      <c r="P31" s="29">
        <v>-4</v>
      </c>
      <c r="Q31" s="3">
        <v>97.427999999999997</v>
      </c>
      <c r="R31" s="29">
        <v>-2.6</v>
      </c>
    </row>
    <row r="32" spans="1:18">
      <c r="A32" s="111"/>
      <c r="B32" s="101"/>
      <c r="C32" s="3" t="s">
        <v>254</v>
      </c>
      <c r="D32" s="32"/>
      <c r="E32" s="3" t="s">
        <v>255</v>
      </c>
      <c r="F32" s="32"/>
      <c r="G32" s="3" t="s">
        <v>256</v>
      </c>
      <c r="H32" s="32"/>
      <c r="I32" s="3" t="s">
        <v>257</v>
      </c>
      <c r="J32" s="32"/>
      <c r="K32" s="3" t="s">
        <v>258</v>
      </c>
      <c r="L32" s="32"/>
      <c r="M32" s="3" t="s">
        <v>259</v>
      </c>
      <c r="N32" s="32"/>
      <c r="O32" s="3">
        <v>89.338999999999999</v>
      </c>
      <c r="P32" s="29">
        <v>11.7</v>
      </c>
      <c r="Q32" s="3" t="s">
        <v>260</v>
      </c>
      <c r="R32" s="32"/>
    </row>
    <row r="33" spans="1:18">
      <c r="A33" s="13" t="s">
        <v>26</v>
      </c>
      <c r="B33" s="107"/>
      <c r="C33" s="3">
        <v>0.20200000000000001</v>
      </c>
      <c r="D33" s="107"/>
      <c r="E33" s="3">
        <v>0.39</v>
      </c>
      <c r="F33" s="107"/>
      <c r="G33" s="3">
        <v>1.0249999999999999</v>
      </c>
      <c r="H33" s="107"/>
      <c r="I33" s="3">
        <v>4.8259999999999996</v>
      </c>
      <c r="J33" s="107"/>
      <c r="K33" s="3">
        <v>19.460999999999999</v>
      </c>
      <c r="L33" s="107"/>
      <c r="M33" s="3">
        <v>40.058999999999997</v>
      </c>
      <c r="N33" s="107"/>
      <c r="O33" s="3">
        <v>83.058000000000007</v>
      </c>
      <c r="P33" s="107"/>
      <c r="Q33" s="3">
        <v>97.427999999999997</v>
      </c>
      <c r="R33" s="107"/>
    </row>
    <row r="34" spans="1:18">
      <c r="A34" s="13" t="s">
        <v>4</v>
      </c>
      <c r="B34" s="108"/>
      <c r="C34" s="41"/>
      <c r="D34" s="108"/>
      <c r="E34" s="41"/>
      <c r="F34" s="108"/>
      <c r="G34" s="41"/>
      <c r="H34" s="108"/>
      <c r="I34" s="41"/>
      <c r="J34" s="108"/>
      <c r="K34" s="41"/>
      <c r="L34" s="108"/>
      <c r="M34" s="41"/>
      <c r="N34" s="108"/>
      <c r="O34" s="41"/>
      <c r="P34" s="108"/>
      <c r="Q34" s="41"/>
      <c r="R34" s="108"/>
    </row>
    <row r="35" spans="1:18">
      <c r="A35" s="13" t="s">
        <v>267</v>
      </c>
      <c r="B35" s="108"/>
      <c r="C35" s="30"/>
      <c r="D35" s="108"/>
      <c r="E35" s="30"/>
      <c r="F35" s="108"/>
      <c r="G35" s="30"/>
      <c r="H35" s="108"/>
      <c r="I35" s="30"/>
      <c r="J35" s="108"/>
      <c r="K35" s="30"/>
      <c r="L35" s="108"/>
      <c r="M35" s="30"/>
      <c r="N35" s="108"/>
      <c r="O35" s="30"/>
      <c r="P35" s="108"/>
      <c r="Q35" s="30"/>
      <c r="R35" s="108"/>
    </row>
    <row r="36" spans="1:18" ht="26.25">
      <c r="A36" s="13" t="s">
        <v>277</v>
      </c>
      <c r="B36" s="108"/>
      <c r="C36" s="29">
        <v>1</v>
      </c>
      <c r="D36" s="108"/>
      <c r="E36" s="29">
        <v>-2.5</v>
      </c>
      <c r="F36" s="108"/>
      <c r="G36" s="29">
        <v>2.5</v>
      </c>
      <c r="H36" s="108"/>
      <c r="I36" s="29">
        <v>-3.5</v>
      </c>
      <c r="J36" s="108"/>
      <c r="K36" s="29">
        <v>-2.7</v>
      </c>
      <c r="L36" s="108"/>
      <c r="M36" s="29">
        <v>0.1</v>
      </c>
      <c r="N36" s="108"/>
      <c r="O36" s="29">
        <v>3.8</v>
      </c>
      <c r="P36" s="108"/>
      <c r="Q36" s="29">
        <v>-2.6</v>
      </c>
      <c r="R36" s="108"/>
    </row>
    <row r="37" spans="1:18">
      <c r="A37" s="13" t="s">
        <v>6</v>
      </c>
      <c r="B37" s="109"/>
      <c r="C37" s="13">
        <v>1</v>
      </c>
      <c r="D37" s="109"/>
      <c r="E37" s="13">
        <v>1</v>
      </c>
      <c r="F37" s="109"/>
      <c r="G37" s="13">
        <v>1</v>
      </c>
      <c r="H37" s="109"/>
      <c r="I37" s="13">
        <v>1</v>
      </c>
      <c r="J37" s="109"/>
      <c r="K37" s="13">
        <v>1</v>
      </c>
      <c r="L37" s="109"/>
      <c r="M37" s="13">
        <v>1</v>
      </c>
      <c r="N37" s="109"/>
      <c r="O37" s="13">
        <v>2</v>
      </c>
      <c r="P37" s="109"/>
      <c r="Q37" s="13">
        <v>1</v>
      </c>
      <c r="R37" s="109"/>
    </row>
    <row r="38" spans="1:18">
      <c r="A38" s="6" t="s">
        <v>135</v>
      </c>
    </row>
    <row r="39" spans="1:18">
      <c r="A39" s="26" t="s">
        <v>281</v>
      </c>
    </row>
  </sheetData>
  <mergeCells count="55">
    <mergeCell ref="N20:N24"/>
    <mergeCell ref="J5:J7"/>
    <mergeCell ref="R20:R24"/>
    <mergeCell ref="L20:L24"/>
    <mergeCell ref="R5:R7"/>
    <mergeCell ref="P20:P24"/>
    <mergeCell ref="L5:L7"/>
    <mergeCell ref="N5:N7"/>
    <mergeCell ref="P5:P7"/>
    <mergeCell ref="A26:D26"/>
    <mergeCell ref="D5:D7"/>
    <mergeCell ref="F5:F7"/>
    <mergeCell ref="H20:H24"/>
    <mergeCell ref="J20:J24"/>
    <mergeCell ref="H5:H7"/>
    <mergeCell ref="F20:F24"/>
    <mergeCell ref="D20:D24"/>
    <mergeCell ref="A8:A9"/>
    <mergeCell ref="B8:B9"/>
    <mergeCell ref="A10:A11"/>
    <mergeCell ref="B10:B11"/>
    <mergeCell ref="A2:E2"/>
    <mergeCell ref="A4:E4"/>
    <mergeCell ref="A5:A7"/>
    <mergeCell ref="B5:B7"/>
    <mergeCell ref="B20:B24"/>
    <mergeCell ref="A12:A13"/>
    <mergeCell ref="A14:A15"/>
    <mergeCell ref="B12:B13"/>
    <mergeCell ref="B14:B15"/>
    <mergeCell ref="B16:B17"/>
    <mergeCell ref="A16:A17"/>
    <mergeCell ref="B18:B19"/>
    <mergeCell ref="A18:A19"/>
    <mergeCell ref="A28:A30"/>
    <mergeCell ref="B28:B30"/>
    <mergeCell ref="D28:D30"/>
    <mergeCell ref="F28:F30"/>
    <mergeCell ref="H28:H30"/>
    <mergeCell ref="J28:J30"/>
    <mergeCell ref="L28:L30"/>
    <mergeCell ref="N28:N30"/>
    <mergeCell ref="P28:P30"/>
    <mergeCell ref="R28:R30"/>
    <mergeCell ref="A31:A32"/>
    <mergeCell ref="B31:B32"/>
    <mergeCell ref="B33:B37"/>
    <mergeCell ref="D33:D37"/>
    <mergeCell ref="F33:F37"/>
    <mergeCell ref="R33:R37"/>
    <mergeCell ref="H33:H37"/>
    <mergeCell ref="J33:J37"/>
    <mergeCell ref="L33:L37"/>
    <mergeCell ref="N33:N37"/>
    <mergeCell ref="P33:P37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8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27"/>
  <sheetViews>
    <sheetView view="pageBreakPreview" zoomScaleNormal="100" zoomScaleSheetLayoutView="100" workbookViewId="0">
      <selection activeCell="F34" sqref="F34"/>
    </sheetView>
  </sheetViews>
  <sheetFormatPr defaultColWidth="8.875" defaultRowHeight="13.5"/>
  <cols>
    <col min="1" max="1" width="16" style="26" customWidth="1"/>
    <col min="2" max="12" width="10.875" style="26" customWidth="1"/>
    <col min="13" max="16384" width="8.875" style="26"/>
  </cols>
  <sheetData>
    <row r="2" spans="1:12">
      <c r="A2" s="104" t="s">
        <v>276</v>
      </c>
      <c r="B2" s="104"/>
      <c r="C2" s="104"/>
      <c r="D2" s="104"/>
      <c r="E2" s="6"/>
      <c r="F2" s="6"/>
      <c r="G2" s="4"/>
      <c r="H2" s="4"/>
      <c r="I2" s="4"/>
      <c r="J2" s="4"/>
    </row>
    <row r="3" spans="1:12">
      <c r="A3" s="6"/>
      <c r="B3" s="6"/>
      <c r="C3" s="6"/>
      <c r="D3" s="6"/>
      <c r="E3" s="6"/>
      <c r="F3" s="6"/>
      <c r="G3" s="4"/>
      <c r="H3" s="4"/>
      <c r="I3" s="4"/>
      <c r="J3" s="4"/>
    </row>
    <row r="4" spans="1:12">
      <c r="A4" s="4" t="s">
        <v>344</v>
      </c>
      <c r="B4" s="4"/>
      <c r="C4" s="4"/>
      <c r="D4" s="4"/>
      <c r="E4" s="4"/>
      <c r="F4" s="4"/>
      <c r="G4" s="4"/>
      <c r="H4" s="4"/>
      <c r="I4" s="4"/>
      <c r="J4" s="4"/>
    </row>
    <row r="5" spans="1:12" ht="13.5" customHeight="1">
      <c r="A5" s="96" t="s">
        <v>24</v>
      </c>
      <c r="B5" s="96" t="s">
        <v>22</v>
      </c>
      <c r="C5" s="13" t="s">
        <v>3</v>
      </c>
      <c r="D5" s="96" t="s">
        <v>277</v>
      </c>
      <c r="E5" s="13" t="s">
        <v>136</v>
      </c>
      <c r="F5" s="96" t="s">
        <v>277</v>
      </c>
      <c r="G5" s="13" t="s">
        <v>2</v>
      </c>
      <c r="H5" s="96" t="s">
        <v>277</v>
      </c>
      <c r="I5" s="13" t="s">
        <v>1</v>
      </c>
      <c r="J5" s="96" t="s">
        <v>277</v>
      </c>
      <c r="K5" s="13" t="s">
        <v>137</v>
      </c>
      <c r="L5" s="96" t="s">
        <v>277</v>
      </c>
    </row>
    <row r="6" spans="1:12">
      <c r="A6" s="96"/>
      <c r="B6" s="96"/>
      <c r="C6" s="27">
        <v>0.6</v>
      </c>
      <c r="D6" s="96"/>
      <c r="E6" s="27">
        <v>5</v>
      </c>
      <c r="F6" s="96"/>
      <c r="G6" s="27">
        <v>50</v>
      </c>
      <c r="H6" s="96"/>
      <c r="I6" s="27">
        <v>75</v>
      </c>
      <c r="J6" s="96"/>
      <c r="K6" s="27">
        <v>500</v>
      </c>
      <c r="L6" s="96"/>
    </row>
    <row r="7" spans="1:12">
      <c r="A7" s="96"/>
      <c r="B7" s="96"/>
      <c r="C7" s="28" t="s">
        <v>15</v>
      </c>
      <c r="D7" s="96"/>
      <c r="E7" s="28" t="s">
        <v>15</v>
      </c>
      <c r="F7" s="96"/>
      <c r="G7" s="28" t="s">
        <v>15</v>
      </c>
      <c r="H7" s="96"/>
      <c r="I7" s="28" t="s">
        <v>15</v>
      </c>
      <c r="J7" s="96"/>
      <c r="K7" s="28" t="s">
        <v>15</v>
      </c>
      <c r="L7" s="96"/>
    </row>
    <row r="8" spans="1:12">
      <c r="A8" s="115">
        <v>45534</v>
      </c>
      <c r="B8" s="116">
        <v>3</v>
      </c>
      <c r="C8" s="114"/>
      <c r="D8" s="114"/>
      <c r="E8" s="114"/>
      <c r="F8" s="114"/>
      <c r="G8" s="114"/>
      <c r="H8" s="114"/>
      <c r="I8" s="114"/>
      <c r="J8" s="114"/>
      <c r="K8" s="31">
        <v>490.05399999999997</v>
      </c>
      <c r="L8" s="25">
        <v>-2</v>
      </c>
    </row>
    <row r="9" spans="1:12">
      <c r="A9" s="115"/>
      <c r="B9" s="116"/>
      <c r="C9" s="114"/>
      <c r="D9" s="114"/>
      <c r="E9" s="114"/>
      <c r="F9" s="114"/>
      <c r="G9" s="114"/>
      <c r="H9" s="114"/>
      <c r="I9" s="114"/>
      <c r="J9" s="114"/>
      <c r="K9" s="31">
        <v>521.73199999999997</v>
      </c>
      <c r="L9" s="17">
        <v>4.3</v>
      </c>
    </row>
    <row r="10" spans="1:12">
      <c r="A10" s="115"/>
      <c r="B10" s="116"/>
      <c r="C10" s="114"/>
      <c r="D10" s="114"/>
      <c r="E10" s="114"/>
      <c r="F10" s="114"/>
      <c r="G10" s="114"/>
      <c r="H10" s="114"/>
      <c r="I10" s="114"/>
      <c r="J10" s="114"/>
      <c r="K10" s="31">
        <v>528.56600000000003</v>
      </c>
      <c r="L10" s="17">
        <v>5.7</v>
      </c>
    </row>
    <row r="11" spans="1:12">
      <c r="A11" s="115">
        <v>45539</v>
      </c>
      <c r="B11" s="117">
        <v>7</v>
      </c>
      <c r="C11" s="31">
        <v>0.52500000000000002</v>
      </c>
      <c r="D11" s="25">
        <v>-12.5</v>
      </c>
      <c r="E11" s="31">
        <v>5.0289999999999999</v>
      </c>
      <c r="F11" s="25">
        <v>0.6</v>
      </c>
      <c r="G11" s="31">
        <v>50.749000000000002</v>
      </c>
      <c r="H11" s="25">
        <v>1.5</v>
      </c>
      <c r="I11" s="31">
        <v>76.759</v>
      </c>
      <c r="J11" s="25">
        <v>2.2999999999999998</v>
      </c>
      <c r="K11" s="118"/>
      <c r="L11" s="118"/>
    </row>
    <row r="12" spans="1:12">
      <c r="A12" s="115"/>
      <c r="B12" s="117"/>
      <c r="C12" s="31">
        <v>0.57399999999999995</v>
      </c>
      <c r="D12" s="25">
        <v>-4.3</v>
      </c>
      <c r="E12" s="31">
        <v>5.0880000000000001</v>
      </c>
      <c r="F12" s="25">
        <v>1.8</v>
      </c>
      <c r="G12" s="31">
        <v>51.274999999999999</v>
      </c>
      <c r="H12" s="25">
        <v>2.6</v>
      </c>
      <c r="I12" s="31">
        <v>82.846999999999994</v>
      </c>
      <c r="J12" s="25">
        <v>10.5</v>
      </c>
      <c r="K12" s="118"/>
      <c r="L12" s="118"/>
    </row>
    <row r="13" spans="1:12">
      <c r="A13" s="115"/>
      <c r="B13" s="117"/>
      <c r="C13" s="31">
        <v>0.58799999999999997</v>
      </c>
      <c r="D13" s="25">
        <v>-2</v>
      </c>
      <c r="E13" s="31">
        <v>4.7729999999999997</v>
      </c>
      <c r="F13" s="25">
        <v>-4.5</v>
      </c>
      <c r="G13" s="31">
        <v>52.08</v>
      </c>
      <c r="H13" s="25">
        <v>4.2</v>
      </c>
      <c r="I13" s="31">
        <v>83.319000000000003</v>
      </c>
      <c r="J13" s="25">
        <v>11.1</v>
      </c>
      <c r="K13" s="118"/>
      <c r="L13" s="118"/>
    </row>
    <row r="14" spans="1:12">
      <c r="A14" s="115"/>
      <c r="B14" s="117"/>
      <c r="C14" s="31">
        <v>0.55400000000000005</v>
      </c>
      <c r="D14" s="25">
        <v>-7.7</v>
      </c>
      <c r="E14" s="31">
        <v>5.2910000000000004</v>
      </c>
      <c r="F14" s="25">
        <v>5.8</v>
      </c>
      <c r="G14" s="31">
        <v>53.962000000000003</v>
      </c>
      <c r="H14" s="25">
        <v>7.9</v>
      </c>
      <c r="I14" s="31" t="s">
        <v>138</v>
      </c>
      <c r="J14" s="25">
        <v>18.2</v>
      </c>
      <c r="K14" s="118"/>
      <c r="L14" s="118"/>
    </row>
    <row r="15" spans="1:12">
      <c r="A15" s="115">
        <v>45596</v>
      </c>
      <c r="B15" s="117">
        <v>9</v>
      </c>
      <c r="C15" s="31">
        <v>0.63900000000000001</v>
      </c>
      <c r="D15" s="25">
        <v>6.5</v>
      </c>
      <c r="E15" s="31">
        <v>4.6609999999999996</v>
      </c>
      <c r="F15" s="25">
        <v>-6.8</v>
      </c>
      <c r="G15" s="31">
        <v>50.725999999999999</v>
      </c>
      <c r="H15" s="25">
        <v>1.5</v>
      </c>
      <c r="I15" s="31">
        <v>77.210999999999999</v>
      </c>
      <c r="J15" s="25">
        <v>2.9</v>
      </c>
      <c r="K15" s="118"/>
      <c r="L15" s="118"/>
    </row>
    <row r="16" spans="1:12">
      <c r="A16" s="115"/>
      <c r="B16" s="117"/>
      <c r="C16" s="31">
        <v>0.53200000000000003</v>
      </c>
      <c r="D16" s="25">
        <v>-11.3</v>
      </c>
      <c r="E16" s="31">
        <v>5.0330000000000004</v>
      </c>
      <c r="F16" s="25">
        <v>0.7</v>
      </c>
      <c r="G16" s="31">
        <v>57.064</v>
      </c>
      <c r="H16" s="25">
        <v>14.1</v>
      </c>
      <c r="I16" s="31">
        <v>76.103999999999999</v>
      </c>
      <c r="J16" s="25">
        <v>1.5</v>
      </c>
      <c r="K16" s="118"/>
      <c r="L16" s="118"/>
    </row>
    <row r="17" spans="1:12">
      <c r="A17" s="115"/>
      <c r="B17" s="117"/>
      <c r="C17" s="31" t="s">
        <v>139</v>
      </c>
      <c r="D17" s="25">
        <v>-15.3</v>
      </c>
      <c r="E17" s="31">
        <v>4.6509999999999998</v>
      </c>
      <c r="F17" s="25">
        <v>-7</v>
      </c>
      <c r="G17" s="31">
        <v>53.043999999999997</v>
      </c>
      <c r="H17" s="25">
        <v>6.1</v>
      </c>
      <c r="I17" s="31">
        <v>79.168999999999997</v>
      </c>
      <c r="J17" s="25">
        <v>5.6</v>
      </c>
      <c r="K17" s="118"/>
      <c r="L17" s="118"/>
    </row>
    <row r="18" spans="1:12">
      <c r="A18" s="115"/>
      <c r="B18" s="117"/>
      <c r="C18" s="31">
        <v>0.55200000000000005</v>
      </c>
      <c r="D18" s="25">
        <v>-8</v>
      </c>
      <c r="E18" s="31">
        <v>5.165</v>
      </c>
      <c r="F18" s="25">
        <v>3.3</v>
      </c>
      <c r="G18" s="31">
        <v>56.555999999999997</v>
      </c>
      <c r="H18" s="25">
        <v>13.1</v>
      </c>
      <c r="I18" s="31">
        <v>84.013999999999996</v>
      </c>
      <c r="J18" s="25">
        <v>12</v>
      </c>
      <c r="K18" s="118"/>
      <c r="L18" s="118"/>
    </row>
    <row r="19" spans="1:12">
      <c r="A19" s="115">
        <v>45611</v>
      </c>
      <c r="B19" s="116">
        <v>10</v>
      </c>
      <c r="C19" s="31">
        <v>0.57399999999999995</v>
      </c>
      <c r="D19" s="25">
        <v>-4.3</v>
      </c>
      <c r="E19" s="31">
        <v>4.8170000000000002</v>
      </c>
      <c r="F19" s="25">
        <v>-3.7</v>
      </c>
      <c r="G19" s="31">
        <v>51.814</v>
      </c>
      <c r="H19" s="25">
        <v>3.6</v>
      </c>
      <c r="I19" s="31">
        <v>75.355000000000004</v>
      </c>
      <c r="J19" s="25">
        <v>0.5</v>
      </c>
      <c r="K19" s="31">
        <v>523.61</v>
      </c>
      <c r="L19" s="17">
        <v>4.7</v>
      </c>
    </row>
    <row r="20" spans="1:12">
      <c r="A20" s="115"/>
      <c r="B20" s="116"/>
      <c r="C20" s="31">
        <v>0.57499999999999996</v>
      </c>
      <c r="D20" s="25">
        <v>-4.2</v>
      </c>
      <c r="E20" s="31">
        <v>4.431</v>
      </c>
      <c r="F20" s="25">
        <v>-11.4</v>
      </c>
      <c r="G20" s="31">
        <v>50.112000000000002</v>
      </c>
      <c r="H20" s="25">
        <v>0.2</v>
      </c>
      <c r="I20" s="31">
        <v>74.399000000000001</v>
      </c>
      <c r="J20" s="25">
        <v>-0.8</v>
      </c>
      <c r="K20" s="31" t="s">
        <v>362</v>
      </c>
      <c r="L20" s="17">
        <v>19.5</v>
      </c>
    </row>
    <row r="21" spans="1:12">
      <c r="A21" s="115"/>
      <c r="B21" s="116"/>
      <c r="C21" s="32"/>
      <c r="D21" s="33"/>
      <c r="E21" s="32"/>
      <c r="F21" s="33"/>
      <c r="G21" s="32"/>
      <c r="H21" s="33"/>
      <c r="I21" s="32"/>
      <c r="J21" s="33"/>
      <c r="K21" s="31">
        <v>442.61200000000002</v>
      </c>
      <c r="L21" s="17">
        <v>-11.5</v>
      </c>
    </row>
    <row r="22" spans="1:12">
      <c r="A22" s="13" t="s">
        <v>102</v>
      </c>
      <c r="B22" s="106"/>
      <c r="C22" s="31">
        <v>0.56200000000000006</v>
      </c>
      <c r="D22" s="107"/>
      <c r="E22" s="31">
        <v>4.8940000000000001</v>
      </c>
      <c r="F22" s="107"/>
      <c r="G22" s="31">
        <v>52.738</v>
      </c>
      <c r="H22" s="107"/>
      <c r="I22" s="31">
        <v>79.783000000000001</v>
      </c>
      <c r="J22" s="107" t="s">
        <v>17</v>
      </c>
      <c r="K22" s="31">
        <v>517.30999999999995</v>
      </c>
      <c r="L22" s="107" t="s">
        <v>17</v>
      </c>
    </row>
    <row r="23" spans="1:12">
      <c r="A23" s="13" t="s">
        <v>4</v>
      </c>
      <c r="B23" s="106"/>
      <c r="C23" s="31">
        <v>3.6999999999999998E-2</v>
      </c>
      <c r="D23" s="108"/>
      <c r="E23" s="31">
        <v>0.27</v>
      </c>
      <c r="F23" s="108"/>
      <c r="G23" s="31">
        <v>2.4319999999999999</v>
      </c>
      <c r="H23" s="108"/>
      <c r="I23" s="31">
        <v>4.6760000000000002</v>
      </c>
      <c r="J23" s="108" t="s">
        <v>17</v>
      </c>
      <c r="K23" s="31">
        <v>50.802999999999997</v>
      </c>
      <c r="L23" s="108" t="s">
        <v>17</v>
      </c>
    </row>
    <row r="24" spans="1:12">
      <c r="A24" s="13" t="s">
        <v>267</v>
      </c>
      <c r="B24" s="106"/>
      <c r="C24" s="17">
        <v>6.6</v>
      </c>
      <c r="D24" s="108"/>
      <c r="E24" s="17">
        <v>5.5</v>
      </c>
      <c r="F24" s="108"/>
      <c r="G24" s="17">
        <v>4.5999999999999996</v>
      </c>
      <c r="H24" s="108"/>
      <c r="I24" s="17">
        <v>5.9</v>
      </c>
      <c r="J24" s="108" t="s">
        <v>17</v>
      </c>
      <c r="K24" s="17">
        <v>9.8000000000000007</v>
      </c>
      <c r="L24" s="108" t="s">
        <v>17</v>
      </c>
    </row>
    <row r="25" spans="1:12">
      <c r="A25" s="13" t="s">
        <v>277</v>
      </c>
      <c r="B25" s="106"/>
      <c r="C25" s="17">
        <v>-6.3</v>
      </c>
      <c r="D25" s="108"/>
      <c r="E25" s="17">
        <v>-2.1</v>
      </c>
      <c r="F25" s="108"/>
      <c r="G25" s="17">
        <v>5.5</v>
      </c>
      <c r="H25" s="108"/>
      <c r="I25" s="17">
        <v>6.4</v>
      </c>
      <c r="J25" s="108" t="s">
        <v>17</v>
      </c>
      <c r="K25" s="17">
        <v>3.5</v>
      </c>
      <c r="L25" s="108" t="s">
        <v>17</v>
      </c>
    </row>
    <row r="26" spans="1:12">
      <c r="A26" s="13" t="s">
        <v>6</v>
      </c>
      <c r="B26" s="106"/>
      <c r="C26" s="17">
        <v>10</v>
      </c>
      <c r="D26" s="109"/>
      <c r="E26" s="17">
        <v>10</v>
      </c>
      <c r="F26" s="109"/>
      <c r="G26" s="17">
        <v>10</v>
      </c>
      <c r="H26" s="109"/>
      <c r="I26" s="17">
        <v>10</v>
      </c>
      <c r="J26" s="109" t="s">
        <v>17</v>
      </c>
      <c r="K26" s="17">
        <v>6</v>
      </c>
      <c r="L26" s="109" t="s">
        <v>17</v>
      </c>
    </row>
    <row r="27" spans="1:12">
      <c r="A27" s="6" t="s">
        <v>363</v>
      </c>
    </row>
  </sheetData>
  <mergeCells count="34">
    <mergeCell ref="C8:C10"/>
    <mergeCell ref="D8:D10"/>
    <mergeCell ref="B22:B26"/>
    <mergeCell ref="K11:K14"/>
    <mergeCell ref="L11:L14"/>
    <mergeCell ref="K15:K18"/>
    <mergeCell ref="L15:L18"/>
    <mergeCell ref="A8:A10"/>
    <mergeCell ref="A19:A21"/>
    <mergeCell ref="A11:A14"/>
    <mergeCell ref="A15:A18"/>
    <mergeCell ref="B8:B10"/>
    <mergeCell ref="B11:B14"/>
    <mergeCell ref="B15:B18"/>
    <mergeCell ref="B19:B21"/>
    <mergeCell ref="A2:D2"/>
    <mergeCell ref="A5:A7"/>
    <mergeCell ref="B5:B7"/>
    <mergeCell ref="D5:D7"/>
    <mergeCell ref="H5:H7"/>
    <mergeCell ref="F5:F7"/>
    <mergeCell ref="J5:J7"/>
    <mergeCell ref="L5:L7"/>
    <mergeCell ref="J22:J26"/>
    <mergeCell ref="D22:D26"/>
    <mergeCell ref="H22:H26"/>
    <mergeCell ref="F22:F26"/>
    <mergeCell ref="E8:E10"/>
    <mergeCell ref="F8:F10"/>
    <mergeCell ref="G8:G10"/>
    <mergeCell ref="H8:H10"/>
    <mergeCell ref="I8:I10"/>
    <mergeCell ref="J8:J10"/>
    <mergeCell ref="L22:L26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I35"/>
  <sheetViews>
    <sheetView view="pageBreakPreview" zoomScaleNormal="100" zoomScaleSheetLayoutView="100" workbookViewId="0">
      <selection activeCell="N35" sqref="N35"/>
    </sheetView>
  </sheetViews>
  <sheetFormatPr defaultColWidth="8.875" defaultRowHeight="13.5"/>
  <cols>
    <col min="1" max="1" width="14.625" style="4" customWidth="1"/>
    <col min="2" max="2" width="19.75" style="4" customWidth="1"/>
    <col min="3" max="5" width="18.125" style="4" customWidth="1"/>
    <col min="6" max="8" width="8.875" style="4"/>
    <col min="9" max="9" width="15.25" style="4" customWidth="1"/>
    <col min="10" max="16384" width="8.875" style="4"/>
  </cols>
  <sheetData>
    <row r="2" spans="1:9">
      <c r="A2" s="5" t="s">
        <v>261</v>
      </c>
      <c r="B2" s="5"/>
    </row>
    <row r="3" spans="1:9">
      <c r="A3" s="5"/>
      <c r="B3" s="5"/>
    </row>
    <row r="4" spans="1:9">
      <c r="A4" s="4" t="s">
        <v>92</v>
      </c>
      <c r="B4" s="5"/>
      <c r="H4" s="42" t="s">
        <v>65</v>
      </c>
      <c r="I4" s="43">
        <v>45593.722916666666</v>
      </c>
    </row>
    <row r="5" spans="1:9" ht="15" customHeight="1">
      <c r="A5" s="87" t="s">
        <v>147</v>
      </c>
      <c r="B5" s="121"/>
      <c r="C5" s="121"/>
      <c r="D5" s="121"/>
      <c r="E5" s="88"/>
      <c r="H5" s="42" t="s">
        <v>66</v>
      </c>
      <c r="I5" s="43">
        <v>45594.706944444442</v>
      </c>
    </row>
    <row r="6" spans="1:9" ht="15" customHeight="1">
      <c r="A6" s="107"/>
      <c r="B6" s="97" t="s">
        <v>28</v>
      </c>
      <c r="C6" s="99"/>
      <c r="D6" s="96" t="s">
        <v>67</v>
      </c>
      <c r="E6" s="96"/>
      <c r="H6" s="42" t="s">
        <v>55</v>
      </c>
      <c r="I6" s="45">
        <f>(I5-I4)*24</f>
        <v>23.616666666639503</v>
      </c>
    </row>
    <row r="7" spans="1:9" ht="15" customHeight="1">
      <c r="A7" s="108"/>
      <c r="B7" s="97" t="s">
        <v>178</v>
      </c>
      <c r="C7" s="99"/>
      <c r="D7" s="96" t="s">
        <v>178</v>
      </c>
      <c r="E7" s="96"/>
    </row>
    <row r="8" spans="1:9" ht="15" customHeight="1">
      <c r="A8" s="108"/>
      <c r="B8" s="97" t="s">
        <v>262</v>
      </c>
      <c r="C8" s="99"/>
      <c r="D8" s="96" t="s">
        <v>262</v>
      </c>
      <c r="E8" s="96"/>
    </row>
    <row r="9" spans="1:9" ht="15" customHeight="1">
      <c r="A9" s="108"/>
      <c r="B9" s="46">
        <v>1</v>
      </c>
      <c r="C9" s="13" t="s">
        <v>47</v>
      </c>
      <c r="D9" s="46">
        <v>1</v>
      </c>
      <c r="E9" s="13" t="s">
        <v>47</v>
      </c>
    </row>
    <row r="10" spans="1:9" ht="15" customHeight="1">
      <c r="A10" s="108"/>
      <c r="B10" s="97" t="s">
        <v>29</v>
      </c>
      <c r="C10" s="99"/>
      <c r="D10" s="96" t="s">
        <v>29</v>
      </c>
      <c r="E10" s="96"/>
    </row>
    <row r="11" spans="1:9" ht="15" customHeight="1">
      <c r="A11" s="109"/>
      <c r="B11" s="13" t="s">
        <v>48</v>
      </c>
      <c r="C11" s="13" t="s">
        <v>30</v>
      </c>
      <c r="D11" s="13" t="s">
        <v>48</v>
      </c>
      <c r="E11" s="13" t="s">
        <v>30</v>
      </c>
    </row>
    <row r="12" spans="1:9" ht="15" customHeight="1">
      <c r="A12" s="13">
        <v>1</v>
      </c>
      <c r="B12" s="47">
        <v>8.5111849999999993</v>
      </c>
      <c r="C12" s="47">
        <v>9.2877679999999998</v>
      </c>
      <c r="D12" s="13">
        <v>0.102713</v>
      </c>
      <c r="E12" s="47">
        <v>0.10415000000000001</v>
      </c>
    </row>
    <row r="13" spans="1:9" ht="15" customHeight="1">
      <c r="A13" s="13">
        <v>2</v>
      </c>
      <c r="B13" s="47">
        <v>9.3802909999999997</v>
      </c>
      <c r="C13" s="47">
        <v>9.2868949999999995</v>
      </c>
      <c r="D13" s="13">
        <v>0.106474</v>
      </c>
      <c r="E13" s="47">
        <v>0.10143199999999999</v>
      </c>
    </row>
    <row r="14" spans="1:9" ht="15" customHeight="1">
      <c r="A14" s="13">
        <v>3</v>
      </c>
      <c r="B14" s="47">
        <v>9.090363</v>
      </c>
      <c r="C14" s="47">
        <v>8.7705439999999992</v>
      </c>
      <c r="D14" s="13">
        <v>9.9965999999999999E-2</v>
      </c>
      <c r="E14" s="47">
        <v>0.103425</v>
      </c>
    </row>
    <row r="15" spans="1:9" ht="15" customHeight="1">
      <c r="A15" s="13">
        <v>4</v>
      </c>
      <c r="B15" s="47">
        <v>9.035558</v>
      </c>
      <c r="C15" s="47">
        <v>8.8020069999999997</v>
      </c>
      <c r="D15" s="48">
        <v>9.7166000000000002E-2</v>
      </c>
      <c r="E15" s="47">
        <v>0.104072</v>
      </c>
    </row>
    <row r="16" spans="1:9" ht="15" customHeight="1">
      <c r="A16" s="13">
        <v>5</v>
      </c>
      <c r="B16" s="47">
        <v>9.4621289999999991</v>
      </c>
      <c r="C16" s="47">
        <v>9.2857669999999999</v>
      </c>
      <c r="D16" s="13">
        <v>0.10556599999999999</v>
      </c>
      <c r="E16" s="47">
        <v>0.105243</v>
      </c>
    </row>
    <row r="17" spans="1:7" ht="15" customHeight="1">
      <c r="A17" s="13">
        <v>6</v>
      </c>
      <c r="B17" s="47">
        <v>8.9621420000000001</v>
      </c>
      <c r="C17" s="47">
        <v>9.6388300000000005</v>
      </c>
      <c r="D17" s="13">
        <v>9.7881999999999997E-2</v>
      </c>
      <c r="E17" s="47">
        <v>0.105766</v>
      </c>
    </row>
    <row r="18" spans="1:7" ht="15" customHeight="1">
      <c r="A18" s="13" t="s">
        <v>26</v>
      </c>
      <c r="B18" s="49">
        <f>ROUND(AVERAGE(B12:B17),6)</f>
        <v>9.0736109999999996</v>
      </c>
      <c r="C18" s="49">
        <f>ROUND(AVERAGE(C12:C17),6)</f>
        <v>9.1786349999999999</v>
      </c>
      <c r="D18" s="49">
        <f>ROUND(AVERAGE(D12:D17),6)</f>
        <v>0.101628</v>
      </c>
      <c r="E18" s="49">
        <f>ROUND(AVERAGE(E12:E17),6)</f>
        <v>0.104015</v>
      </c>
    </row>
    <row r="19" spans="1:7" ht="15" customHeight="1">
      <c r="A19" s="13" t="s">
        <v>4</v>
      </c>
      <c r="B19" s="49">
        <f>ROUND(STDEV(B12:B17),6)</f>
        <v>0.33925699999999998</v>
      </c>
      <c r="C19" s="49">
        <f>ROUND(STDEV(C12:C17),6)</f>
        <v>0.33324900000000002</v>
      </c>
      <c r="D19" s="49">
        <f>ROUND(STDEV(D12:D17),6)</f>
        <v>3.921E-3</v>
      </c>
      <c r="E19" s="49">
        <f>ROUND(STDEV(E12:E17),6)</f>
        <v>1.524E-3</v>
      </c>
    </row>
    <row r="20" spans="1:7" ht="15" customHeight="1">
      <c r="A20" s="13" t="s">
        <v>263</v>
      </c>
      <c r="B20" s="50">
        <f>ROUND(B19/B18*100,1)</f>
        <v>3.7</v>
      </c>
      <c r="C20" s="50">
        <f>ROUND(C19/C18*100,1)</f>
        <v>3.6</v>
      </c>
      <c r="D20" s="50">
        <f>ROUND(D19/D18*100,1)</f>
        <v>3.9</v>
      </c>
      <c r="E20" s="50">
        <f>ROUND(E19/E18*100,1)</f>
        <v>1.5</v>
      </c>
    </row>
    <row r="21" spans="1:7">
      <c r="A21" s="51" t="s">
        <v>264</v>
      </c>
      <c r="B21" s="119">
        <f>ROUND((C18-B18)/B18*100,1)</f>
        <v>1.2</v>
      </c>
      <c r="C21" s="119"/>
      <c r="D21" s="120">
        <f>ROUND((E18-D18)/D18*100,1)</f>
        <v>2.2999999999999998</v>
      </c>
      <c r="E21" s="120"/>
    </row>
    <row r="23" spans="1:7" ht="26.25">
      <c r="B23" s="52" t="s">
        <v>59</v>
      </c>
      <c r="C23" s="11" t="s">
        <v>60</v>
      </c>
      <c r="D23" s="11" t="s">
        <v>61</v>
      </c>
      <c r="E23" s="53" t="s">
        <v>62</v>
      </c>
      <c r="G23" s="54"/>
    </row>
    <row r="24" spans="1:7">
      <c r="B24" s="80" t="s">
        <v>148</v>
      </c>
      <c r="C24" s="81">
        <v>5275219</v>
      </c>
      <c r="D24" s="81">
        <v>541832</v>
      </c>
      <c r="E24" s="55">
        <f>ROUND(D24/C24,6)</f>
        <v>0.102713</v>
      </c>
    </row>
    <row r="25" spans="1:7">
      <c r="B25" s="80" t="s">
        <v>149</v>
      </c>
      <c r="C25" s="81">
        <v>5261664</v>
      </c>
      <c r="D25" s="81">
        <v>560229</v>
      </c>
      <c r="E25" s="55">
        <f t="shared" ref="E25:E35" si="0">ROUND(D25/C25,6)</f>
        <v>0.106474</v>
      </c>
    </row>
    <row r="26" spans="1:7">
      <c r="B26" s="80" t="s">
        <v>150</v>
      </c>
      <c r="C26" s="81">
        <v>5343831</v>
      </c>
      <c r="D26" s="81">
        <v>534199</v>
      </c>
      <c r="E26" s="55">
        <f t="shared" si="0"/>
        <v>9.9965999999999999E-2</v>
      </c>
    </row>
    <row r="27" spans="1:7">
      <c r="B27" s="80" t="s">
        <v>151</v>
      </c>
      <c r="C27" s="81">
        <v>5510268</v>
      </c>
      <c r="D27" s="81">
        <v>535411</v>
      </c>
      <c r="E27" s="55">
        <f t="shared" si="0"/>
        <v>9.7166000000000002E-2</v>
      </c>
    </row>
    <row r="28" spans="1:7">
      <c r="B28" s="80" t="s">
        <v>152</v>
      </c>
      <c r="C28" s="81">
        <v>5435499</v>
      </c>
      <c r="D28" s="81">
        <v>573806</v>
      </c>
      <c r="E28" s="55">
        <f t="shared" si="0"/>
        <v>0.10556599999999999</v>
      </c>
    </row>
    <row r="29" spans="1:7">
      <c r="B29" s="80" t="s">
        <v>153</v>
      </c>
      <c r="C29" s="81">
        <v>5422659</v>
      </c>
      <c r="D29" s="81">
        <v>530778</v>
      </c>
      <c r="E29" s="55">
        <f t="shared" si="0"/>
        <v>9.7881999999999997E-2</v>
      </c>
    </row>
    <row r="30" spans="1:7">
      <c r="B30" s="80" t="s">
        <v>154</v>
      </c>
      <c r="C30" s="81">
        <v>5285211</v>
      </c>
      <c r="D30" s="81">
        <v>550457</v>
      </c>
      <c r="E30" s="55">
        <f t="shared" si="0"/>
        <v>0.10415000000000001</v>
      </c>
    </row>
    <row r="31" spans="1:7">
      <c r="B31" s="80" t="s">
        <v>155</v>
      </c>
      <c r="C31" s="81">
        <v>5412956</v>
      </c>
      <c r="D31" s="81">
        <v>549046</v>
      </c>
      <c r="E31" s="55">
        <f t="shared" si="0"/>
        <v>0.10143199999999999</v>
      </c>
    </row>
    <row r="32" spans="1:7">
      <c r="B32" s="80" t="s">
        <v>156</v>
      </c>
      <c r="C32" s="81">
        <v>5485782</v>
      </c>
      <c r="D32" s="81">
        <v>567367</v>
      </c>
      <c r="E32" s="55">
        <f t="shared" si="0"/>
        <v>0.103425</v>
      </c>
    </row>
    <row r="33" spans="2:5">
      <c r="B33" s="80" t="s">
        <v>157</v>
      </c>
      <c r="C33" s="81">
        <v>5349472</v>
      </c>
      <c r="D33" s="81">
        <v>556731</v>
      </c>
      <c r="E33" s="55">
        <f t="shared" si="0"/>
        <v>0.104072</v>
      </c>
    </row>
    <row r="34" spans="2:5">
      <c r="B34" s="80" t="s">
        <v>158</v>
      </c>
      <c r="C34" s="81">
        <v>5455581</v>
      </c>
      <c r="D34" s="81">
        <v>574163</v>
      </c>
      <c r="E34" s="55">
        <f t="shared" si="0"/>
        <v>0.105243</v>
      </c>
    </row>
    <row r="35" spans="2:5">
      <c r="B35" s="80" t="s">
        <v>159</v>
      </c>
      <c r="C35" s="81">
        <v>5411413</v>
      </c>
      <c r="D35" s="81">
        <v>572343</v>
      </c>
      <c r="E35" s="55">
        <f t="shared" si="0"/>
        <v>0.105766</v>
      </c>
    </row>
  </sheetData>
  <mergeCells count="12">
    <mergeCell ref="B21:C21"/>
    <mergeCell ref="D21:E21"/>
    <mergeCell ref="A5:E5"/>
    <mergeCell ref="A6:A11"/>
    <mergeCell ref="B6:C6"/>
    <mergeCell ref="B7:C7"/>
    <mergeCell ref="B8:C8"/>
    <mergeCell ref="D8:E8"/>
    <mergeCell ref="D10:E10"/>
    <mergeCell ref="B10:C10"/>
    <mergeCell ref="D6:E6"/>
    <mergeCell ref="D7:E7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5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M37"/>
  <sheetViews>
    <sheetView view="pageBreakPreview" zoomScaleNormal="100" zoomScaleSheetLayoutView="100" workbookViewId="0">
      <selection activeCell="G23" sqref="G23"/>
    </sheetView>
  </sheetViews>
  <sheetFormatPr defaultColWidth="8.875" defaultRowHeight="13.5"/>
  <cols>
    <col min="1" max="1" width="15.375" style="4" customWidth="1"/>
    <col min="2" max="7" width="15.875" style="4" customWidth="1"/>
    <col min="8" max="8" width="8.875" style="4"/>
    <col min="9" max="9" width="13.125" style="4" customWidth="1"/>
    <col min="10" max="10" width="15.875" style="4" customWidth="1"/>
    <col min="11" max="16384" width="8.875" style="4"/>
  </cols>
  <sheetData>
    <row r="2" spans="1:12">
      <c r="A2" s="4" t="s">
        <v>275</v>
      </c>
    </row>
    <row r="4" spans="1:12">
      <c r="A4" s="4" t="s">
        <v>92</v>
      </c>
      <c r="I4" s="42" t="s">
        <v>63</v>
      </c>
      <c r="J4" s="43">
        <v>45593.725694444445</v>
      </c>
    </row>
    <row r="5" spans="1:12" s="2" customFormat="1" ht="15" customHeight="1">
      <c r="A5" s="87" t="s">
        <v>147</v>
      </c>
      <c r="B5" s="121"/>
      <c r="C5" s="121"/>
      <c r="D5" s="121"/>
      <c r="E5" s="121"/>
      <c r="F5" s="121"/>
      <c r="G5" s="88"/>
      <c r="I5" s="42" t="s">
        <v>64</v>
      </c>
      <c r="J5" s="43">
        <v>45594.706944444442</v>
      </c>
    </row>
    <row r="6" spans="1:12" s="2" customFormat="1" ht="15" customHeight="1">
      <c r="A6" s="106"/>
      <c r="B6" s="96" t="s">
        <v>0</v>
      </c>
      <c r="C6" s="96"/>
      <c r="D6" s="96" t="s">
        <v>5</v>
      </c>
      <c r="E6" s="96"/>
      <c r="F6" s="96" t="s">
        <v>21</v>
      </c>
      <c r="G6" s="96"/>
      <c r="I6" s="42" t="s">
        <v>55</v>
      </c>
      <c r="J6" s="45">
        <f>(J5-J4)*24</f>
        <v>23.549999999930151</v>
      </c>
    </row>
    <row r="7" spans="1:12" s="2" customFormat="1" ht="15" customHeight="1">
      <c r="A7" s="106"/>
      <c r="B7" s="97" t="s">
        <v>178</v>
      </c>
      <c r="C7" s="99"/>
      <c r="D7" s="97" t="s">
        <v>178</v>
      </c>
      <c r="E7" s="99"/>
      <c r="F7" s="97" t="s">
        <v>178</v>
      </c>
      <c r="G7" s="99"/>
    </row>
    <row r="8" spans="1:12" s="2" customFormat="1" ht="15" customHeight="1">
      <c r="A8" s="106"/>
      <c r="B8" s="96" t="s">
        <v>262</v>
      </c>
      <c r="C8" s="96"/>
      <c r="D8" s="96" t="s">
        <v>262</v>
      </c>
      <c r="E8" s="96"/>
      <c r="F8" s="96" t="s">
        <v>262</v>
      </c>
      <c r="G8" s="96"/>
      <c r="I8" s="4"/>
      <c r="J8" s="4"/>
      <c r="K8" s="4"/>
      <c r="L8" s="4"/>
    </row>
    <row r="9" spans="1:12" s="2" customFormat="1" ht="15" customHeight="1">
      <c r="A9" s="106"/>
      <c r="B9" s="46">
        <v>4</v>
      </c>
      <c r="C9" s="13" t="s">
        <v>27</v>
      </c>
      <c r="D9" s="46">
        <v>2000</v>
      </c>
      <c r="E9" s="13" t="s">
        <v>15</v>
      </c>
      <c r="F9" s="46">
        <v>3</v>
      </c>
      <c r="G9" s="13" t="s">
        <v>27</v>
      </c>
      <c r="I9" s="4"/>
      <c r="J9" s="4"/>
      <c r="K9" s="4"/>
      <c r="L9" s="4"/>
    </row>
    <row r="10" spans="1:12" s="2" customFormat="1" ht="15" customHeight="1">
      <c r="A10" s="106"/>
      <c r="B10" s="96" t="s">
        <v>29</v>
      </c>
      <c r="C10" s="96"/>
      <c r="D10" s="96" t="s">
        <v>29</v>
      </c>
      <c r="E10" s="96"/>
      <c r="F10" s="96" t="s">
        <v>29</v>
      </c>
      <c r="G10" s="96"/>
      <c r="I10" s="4"/>
      <c r="J10" s="4"/>
      <c r="K10" s="4"/>
      <c r="L10" s="4"/>
    </row>
    <row r="11" spans="1:12" s="2" customFormat="1" ht="15" customHeight="1">
      <c r="A11" s="106"/>
      <c r="B11" s="13" t="s">
        <v>48</v>
      </c>
      <c r="C11" s="13" t="s">
        <v>30</v>
      </c>
      <c r="D11" s="13" t="s">
        <v>48</v>
      </c>
      <c r="E11" s="13" t="s">
        <v>30</v>
      </c>
      <c r="F11" s="13" t="s">
        <v>48</v>
      </c>
      <c r="G11" s="13" t="s">
        <v>30</v>
      </c>
      <c r="I11" s="4"/>
      <c r="J11" s="4"/>
      <c r="K11" s="4"/>
      <c r="L11" s="4"/>
    </row>
    <row r="12" spans="1:12" s="2" customFormat="1" ht="15" customHeight="1">
      <c r="A12" s="13">
        <v>1</v>
      </c>
      <c r="B12" s="47">
        <v>0.34442099999999998</v>
      </c>
      <c r="C12" s="47">
        <v>0.34728900000000001</v>
      </c>
      <c r="D12" s="47">
        <v>8.5757320000000004</v>
      </c>
      <c r="E12" s="47">
        <v>9.0429379999999995</v>
      </c>
      <c r="F12" s="47">
        <v>0.11214</v>
      </c>
      <c r="G12" s="47">
        <v>0.10528</v>
      </c>
      <c r="I12" s="4"/>
      <c r="J12" s="4"/>
      <c r="K12" s="4"/>
      <c r="L12" s="4"/>
    </row>
    <row r="13" spans="1:12" s="2" customFormat="1" ht="15" customHeight="1">
      <c r="A13" s="13">
        <v>2</v>
      </c>
      <c r="B13" s="47">
        <v>0.32679999999999998</v>
      </c>
      <c r="C13" s="47">
        <v>0.34665400000000002</v>
      </c>
      <c r="D13" s="47">
        <v>8.6993179999999999</v>
      </c>
      <c r="E13" s="47">
        <v>9.5288819999999994</v>
      </c>
      <c r="F13" s="47">
        <v>0.112956</v>
      </c>
      <c r="G13" s="47">
        <v>0.107034</v>
      </c>
      <c r="I13" s="4"/>
      <c r="J13" s="4"/>
      <c r="K13" s="4"/>
      <c r="L13" s="4"/>
    </row>
    <row r="14" spans="1:12" s="2" customFormat="1" ht="15" customHeight="1">
      <c r="A14" s="13">
        <v>3</v>
      </c>
      <c r="B14" s="47">
        <v>0.33796900000000002</v>
      </c>
      <c r="C14" s="47">
        <v>0.35572199999999998</v>
      </c>
      <c r="D14" s="47">
        <v>8.6796120000000005</v>
      </c>
      <c r="E14" s="47">
        <v>8.9770020000000006</v>
      </c>
      <c r="F14" s="47">
        <v>0.110512</v>
      </c>
      <c r="G14" s="47">
        <v>0.101677</v>
      </c>
      <c r="I14" s="4"/>
      <c r="J14" s="4"/>
      <c r="K14" s="4"/>
      <c r="L14" s="4"/>
    </row>
    <row r="15" spans="1:12" s="2" customFormat="1" ht="15" customHeight="1">
      <c r="A15" s="13">
        <v>4</v>
      </c>
      <c r="B15" s="47">
        <v>0.34401100000000001</v>
      </c>
      <c r="C15" s="47">
        <v>0.342136</v>
      </c>
      <c r="D15" s="47">
        <v>9.1469140000000007</v>
      </c>
      <c r="E15" s="47">
        <v>9.8307599999999997</v>
      </c>
      <c r="F15" s="47">
        <v>0.108003</v>
      </c>
      <c r="G15" s="47">
        <v>9.6904000000000004E-2</v>
      </c>
      <c r="I15" s="4"/>
      <c r="J15" s="4"/>
      <c r="K15" s="4"/>
      <c r="L15" s="4"/>
    </row>
    <row r="16" spans="1:12" s="2" customFormat="1" ht="15" customHeight="1">
      <c r="A16" s="13">
        <v>5</v>
      </c>
      <c r="B16" s="47">
        <v>0.34345199999999998</v>
      </c>
      <c r="C16" s="47">
        <v>0.35798600000000003</v>
      </c>
      <c r="D16" s="47">
        <v>9.0635549999999991</v>
      </c>
      <c r="E16" s="47">
        <v>9.1236099999999993</v>
      </c>
      <c r="F16" s="47">
        <v>0.10706300000000001</v>
      </c>
      <c r="G16" s="47">
        <v>0.109002</v>
      </c>
      <c r="I16" s="4"/>
      <c r="J16" s="4"/>
      <c r="K16" s="4"/>
      <c r="L16" s="4"/>
    </row>
    <row r="17" spans="1:13" s="2" customFormat="1" ht="15" customHeight="1">
      <c r="A17" s="13">
        <v>6</v>
      </c>
      <c r="B17" s="47">
        <v>0.32094800000000001</v>
      </c>
      <c r="C17" s="47">
        <v>0.36594700000000002</v>
      </c>
      <c r="D17" s="47">
        <v>8.3126990000000003</v>
      </c>
      <c r="E17" s="47">
        <v>9.4435610000000008</v>
      </c>
      <c r="F17" s="47">
        <v>0.112732</v>
      </c>
      <c r="G17" s="47">
        <v>0.10049</v>
      </c>
      <c r="I17" s="4"/>
      <c r="J17" s="4"/>
      <c r="K17" s="4"/>
      <c r="L17" s="4"/>
    </row>
    <row r="18" spans="1:13" s="2" customFormat="1" ht="15" customHeight="1">
      <c r="A18" s="13" t="s">
        <v>26</v>
      </c>
      <c r="B18" s="49">
        <f t="shared" ref="B18:G18" si="0">ROUND(AVERAGE(B12:B17),6)</f>
        <v>0.33626699999999998</v>
      </c>
      <c r="C18" s="49">
        <f t="shared" si="0"/>
        <v>0.35262199999999999</v>
      </c>
      <c r="D18" s="49">
        <f t="shared" si="0"/>
        <v>8.7463049999999996</v>
      </c>
      <c r="E18" s="49">
        <f t="shared" si="0"/>
        <v>9.3244589999999992</v>
      </c>
      <c r="F18" s="49">
        <f t="shared" si="0"/>
        <v>0.110568</v>
      </c>
      <c r="G18" s="49">
        <f t="shared" si="0"/>
        <v>0.103398</v>
      </c>
      <c r="I18" s="4"/>
      <c r="J18" s="4"/>
      <c r="K18" s="4"/>
      <c r="L18" s="4"/>
    </row>
    <row r="19" spans="1:13" s="2" customFormat="1" ht="15" customHeight="1">
      <c r="A19" s="13" t="s">
        <v>4</v>
      </c>
      <c r="B19" s="49">
        <f t="shared" ref="B19:G19" si="1">ROUND(STDEV(B12:B17),6)</f>
        <v>1.0052999999999999E-2</v>
      </c>
      <c r="C19" s="49">
        <f t="shared" si="1"/>
        <v>8.8310000000000003E-3</v>
      </c>
      <c r="D19" s="49">
        <f t="shared" si="1"/>
        <v>0.31141600000000003</v>
      </c>
      <c r="E19" s="49">
        <f t="shared" si="1"/>
        <v>0.33245599999999997</v>
      </c>
      <c r="F19" s="49">
        <f t="shared" si="1"/>
        <v>2.519E-3</v>
      </c>
      <c r="G19" s="49">
        <f t="shared" si="1"/>
        <v>4.5110000000000003E-3</v>
      </c>
      <c r="I19" s="4"/>
      <c r="J19" s="4"/>
      <c r="K19" s="4"/>
      <c r="L19" s="4"/>
    </row>
    <row r="20" spans="1:13" s="2" customFormat="1" ht="15" customHeight="1">
      <c r="A20" s="13" t="s">
        <v>263</v>
      </c>
      <c r="B20" s="50">
        <f>ROUND(B19/B18*100,1)</f>
        <v>3</v>
      </c>
      <c r="C20" s="50">
        <f>ROUND(C19/C18*100,1)</f>
        <v>2.5</v>
      </c>
      <c r="D20" s="50">
        <f>ROUND(D19/D18*100,1)</f>
        <v>3.6</v>
      </c>
      <c r="E20" s="50">
        <f>ROUND(E19/E18*100,1)</f>
        <v>3.6</v>
      </c>
      <c r="F20" s="50">
        <f>ROUND(F19/F18*100,1)</f>
        <v>2.2999999999999998</v>
      </c>
      <c r="G20" s="50">
        <f t="shared" ref="G20" si="2">ROUND(G19/G18*100,1)</f>
        <v>4.4000000000000004</v>
      </c>
      <c r="H20" s="4"/>
      <c r="I20" s="4"/>
      <c r="J20" s="4"/>
      <c r="K20" s="4"/>
      <c r="L20" s="4"/>
    </row>
    <row r="21" spans="1:13">
      <c r="A21" s="51" t="s">
        <v>264</v>
      </c>
      <c r="B21" s="119">
        <f>ROUND((C18-B18)/B18*100,1)</f>
        <v>4.9000000000000004</v>
      </c>
      <c r="C21" s="119"/>
      <c r="D21" s="119">
        <f>ROUND((E18-D18)/D18*100,1)</f>
        <v>6.6</v>
      </c>
      <c r="E21" s="119"/>
      <c r="F21" s="119">
        <f>ROUND((G18-F18)/F18*100,1)</f>
        <v>-6.5</v>
      </c>
      <c r="G21" s="119"/>
    </row>
    <row r="23" spans="1:13" ht="26.25">
      <c r="B23" s="52" t="s">
        <v>59</v>
      </c>
      <c r="C23" s="11" t="s">
        <v>60</v>
      </c>
      <c r="D23" s="11" t="s">
        <v>61</v>
      </c>
      <c r="E23" s="53" t="s">
        <v>62</v>
      </c>
    </row>
    <row r="24" spans="1:13">
      <c r="B24" s="82" t="s">
        <v>166</v>
      </c>
      <c r="C24" s="81">
        <v>4679454</v>
      </c>
      <c r="D24" s="81">
        <v>524753</v>
      </c>
      <c r="E24" s="55">
        <f>ROUND(D24/C24,6)</f>
        <v>0.11214</v>
      </c>
      <c r="M24" s="1"/>
    </row>
    <row r="25" spans="1:13">
      <c r="B25" s="82" t="s">
        <v>167</v>
      </c>
      <c r="C25" s="81">
        <v>4829744</v>
      </c>
      <c r="D25" s="81">
        <v>545550</v>
      </c>
      <c r="E25" s="55">
        <f t="shared" ref="E25:E35" si="3">ROUND(D25/C25,6)</f>
        <v>0.112956</v>
      </c>
      <c r="M25" s="1"/>
    </row>
    <row r="26" spans="1:13">
      <c r="B26" s="82" t="s">
        <v>168</v>
      </c>
      <c r="C26" s="81">
        <v>4646596</v>
      </c>
      <c r="D26" s="81">
        <v>513503</v>
      </c>
      <c r="E26" s="55">
        <f t="shared" si="3"/>
        <v>0.110512</v>
      </c>
      <c r="M26" s="1"/>
    </row>
    <row r="27" spans="1:13">
      <c r="B27" s="82" t="s">
        <v>169</v>
      </c>
      <c r="C27" s="81">
        <v>4675000</v>
      </c>
      <c r="D27" s="81">
        <v>504915</v>
      </c>
      <c r="E27" s="55">
        <f t="shared" si="3"/>
        <v>0.108003</v>
      </c>
      <c r="M27" s="1"/>
    </row>
    <row r="28" spans="1:13">
      <c r="B28" s="82" t="s">
        <v>170</v>
      </c>
      <c r="C28" s="81">
        <v>4850427</v>
      </c>
      <c r="D28" s="81">
        <v>519302</v>
      </c>
      <c r="E28" s="55">
        <f t="shared" si="3"/>
        <v>0.10706300000000001</v>
      </c>
      <c r="M28" s="1"/>
    </row>
    <row r="29" spans="1:13">
      <c r="B29" s="82" t="s">
        <v>171</v>
      </c>
      <c r="C29" s="81">
        <v>4729617</v>
      </c>
      <c r="D29" s="81">
        <v>533179</v>
      </c>
      <c r="E29" s="55">
        <f t="shared" si="3"/>
        <v>0.112732</v>
      </c>
      <c r="M29" s="1"/>
    </row>
    <row r="30" spans="1:13">
      <c r="B30" s="82" t="s">
        <v>172</v>
      </c>
      <c r="C30" s="81">
        <v>5382223</v>
      </c>
      <c r="D30" s="81">
        <v>566643</v>
      </c>
      <c r="E30" s="55">
        <f t="shared" si="3"/>
        <v>0.10528</v>
      </c>
      <c r="M30" s="1"/>
    </row>
    <row r="31" spans="1:13">
      <c r="B31" s="82" t="s">
        <v>173</v>
      </c>
      <c r="C31" s="81">
        <v>5100332</v>
      </c>
      <c r="D31" s="81">
        <v>545907</v>
      </c>
      <c r="E31" s="55">
        <f t="shared" si="3"/>
        <v>0.107034</v>
      </c>
      <c r="M31" s="1"/>
    </row>
    <row r="32" spans="1:13">
      <c r="B32" s="82" t="s">
        <v>174</v>
      </c>
      <c r="C32" s="81">
        <v>5218010</v>
      </c>
      <c r="D32" s="81">
        <v>530551</v>
      </c>
      <c r="E32" s="55">
        <f t="shared" si="3"/>
        <v>0.101677</v>
      </c>
      <c r="M32" s="1"/>
    </row>
    <row r="33" spans="2:13">
      <c r="B33" s="82" t="s">
        <v>175</v>
      </c>
      <c r="C33" s="81">
        <v>5327720</v>
      </c>
      <c r="D33" s="81">
        <v>516277</v>
      </c>
      <c r="E33" s="55">
        <f t="shared" si="3"/>
        <v>9.6904000000000004E-2</v>
      </c>
      <c r="M33" s="1"/>
    </row>
    <row r="34" spans="2:13">
      <c r="B34" s="82" t="s">
        <v>176</v>
      </c>
      <c r="C34" s="81">
        <v>5158271</v>
      </c>
      <c r="D34" s="81">
        <v>562263</v>
      </c>
      <c r="E34" s="55">
        <f t="shared" si="3"/>
        <v>0.109002</v>
      </c>
      <c r="M34" s="1"/>
    </row>
    <row r="35" spans="2:13">
      <c r="B35" s="82" t="s">
        <v>177</v>
      </c>
      <c r="C35" s="81">
        <v>5401921</v>
      </c>
      <c r="D35" s="81">
        <v>542839</v>
      </c>
      <c r="E35" s="55">
        <f t="shared" si="3"/>
        <v>0.10049</v>
      </c>
      <c r="M35" s="1"/>
    </row>
    <row r="36" spans="2:13">
      <c r="M36" s="1"/>
    </row>
    <row r="37" spans="2:13">
      <c r="H37" s="2"/>
      <c r="I37" s="2"/>
      <c r="J37" s="2"/>
      <c r="K37" s="2"/>
      <c r="L37" s="2"/>
    </row>
  </sheetData>
  <mergeCells count="17">
    <mergeCell ref="D10:E10"/>
    <mergeCell ref="B10:C10"/>
    <mergeCell ref="A5:G5"/>
    <mergeCell ref="F6:G6"/>
    <mergeCell ref="B21:C21"/>
    <mergeCell ref="F21:G21"/>
    <mergeCell ref="D21:E21"/>
    <mergeCell ref="A6:A11"/>
    <mergeCell ref="D6:E6"/>
    <mergeCell ref="B6:C6"/>
    <mergeCell ref="D7:E7"/>
    <mergeCell ref="B7:C7"/>
    <mergeCell ref="D8:E8"/>
    <mergeCell ref="F7:G7"/>
    <mergeCell ref="F8:G8"/>
    <mergeCell ref="F10:G10"/>
    <mergeCell ref="B8:C8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8"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K37"/>
  <sheetViews>
    <sheetView view="pageBreakPreview" zoomScaleNormal="100" zoomScaleSheetLayoutView="100" workbookViewId="0">
      <selection activeCell="G23" sqref="G23"/>
    </sheetView>
  </sheetViews>
  <sheetFormatPr defaultColWidth="8.875" defaultRowHeight="13.5"/>
  <cols>
    <col min="1" max="1" width="14.5" style="4" customWidth="1"/>
    <col min="2" max="2" width="18.125" style="4" customWidth="1"/>
    <col min="3" max="3" width="15.625" style="4" customWidth="1"/>
    <col min="4" max="4" width="15.25" style="4" customWidth="1"/>
    <col min="5" max="5" width="15.875" style="4" customWidth="1"/>
    <col min="6" max="8" width="8.875" style="4"/>
    <col min="9" max="9" width="8.875" style="56"/>
    <col min="10" max="10" width="10.25" style="4" bestFit="1" customWidth="1"/>
    <col min="11" max="16384" width="8.875" style="4"/>
  </cols>
  <sheetData>
    <row r="2" spans="1:11">
      <c r="A2" s="94" t="s">
        <v>274</v>
      </c>
      <c r="B2" s="94"/>
    </row>
    <row r="3" spans="1:11">
      <c r="A3" s="5"/>
      <c r="B3" s="5"/>
    </row>
    <row r="4" spans="1:11">
      <c r="A4" s="4" t="s">
        <v>92</v>
      </c>
      <c r="G4" s="6"/>
      <c r="I4" s="42" t="s">
        <v>56</v>
      </c>
      <c r="J4" s="57">
        <v>45528</v>
      </c>
    </row>
    <row r="5" spans="1:11" s="2" customFormat="1" ht="15" customHeight="1">
      <c r="A5" s="87" t="s">
        <v>147</v>
      </c>
      <c r="B5" s="121"/>
      <c r="C5" s="121"/>
      <c r="D5" s="121"/>
      <c r="E5" s="88"/>
      <c r="G5" s="6"/>
      <c r="H5" s="4"/>
      <c r="I5" s="42" t="s">
        <v>57</v>
      </c>
      <c r="J5" s="57">
        <v>45594</v>
      </c>
      <c r="K5" s="4"/>
    </row>
    <row r="6" spans="1:11" s="2" customFormat="1" ht="15" customHeight="1">
      <c r="A6" s="122"/>
      <c r="B6" s="97" t="s">
        <v>28</v>
      </c>
      <c r="C6" s="99"/>
      <c r="D6" s="96" t="s">
        <v>21</v>
      </c>
      <c r="E6" s="96"/>
      <c r="G6" s="6"/>
      <c r="H6" s="4"/>
      <c r="I6" s="42" t="s">
        <v>58</v>
      </c>
      <c r="J6" s="58">
        <f>J5-J4</f>
        <v>66</v>
      </c>
      <c r="K6" s="4"/>
    </row>
    <row r="7" spans="1:11" s="2" customFormat="1" ht="15" customHeight="1">
      <c r="A7" s="108"/>
      <c r="B7" s="97" t="s">
        <v>245</v>
      </c>
      <c r="C7" s="99"/>
      <c r="D7" s="96" t="s">
        <v>245</v>
      </c>
      <c r="E7" s="96"/>
      <c r="I7" s="42"/>
    </row>
    <row r="8" spans="1:11" s="2" customFormat="1" ht="15" customHeight="1">
      <c r="A8" s="108"/>
      <c r="B8" s="96" t="s">
        <v>262</v>
      </c>
      <c r="C8" s="96"/>
      <c r="D8" s="96" t="s">
        <v>262</v>
      </c>
      <c r="E8" s="96"/>
      <c r="I8" s="42"/>
    </row>
    <row r="9" spans="1:11" s="2" customFormat="1" ht="15" customHeight="1">
      <c r="A9" s="108"/>
      <c r="B9" s="46">
        <v>1</v>
      </c>
      <c r="C9" s="13" t="s">
        <v>47</v>
      </c>
      <c r="D9" s="46">
        <v>1</v>
      </c>
      <c r="E9" s="13" t="s">
        <v>47</v>
      </c>
      <c r="I9" s="42"/>
    </row>
    <row r="10" spans="1:11" s="2" customFormat="1" ht="15" customHeight="1">
      <c r="A10" s="108"/>
      <c r="B10" s="97" t="s">
        <v>29</v>
      </c>
      <c r="C10" s="99"/>
      <c r="D10" s="96" t="s">
        <v>29</v>
      </c>
      <c r="E10" s="96"/>
      <c r="I10" s="42"/>
    </row>
    <row r="11" spans="1:11" s="2" customFormat="1" ht="15" customHeight="1">
      <c r="A11" s="109"/>
      <c r="B11" s="13" t="s">
        <v>48</v>
      </c>
      <c r="C11" s="13" t="s">
        <v>30</v>
      </c>
      <c r="D11" s="13" t="s">
        <v>48</v>
      </c>
      <c r="E11" s="13" t="s">
        <v>30</v>
      </c>
      <c r="G11" s="4"/>
      <c r="H11" s="4"/>
      <c r="I11" s="4"/>
    </row>
    <row r="12" spans="1:11" s="2" customFormat="1" ht="15" customHeight="1">
      <c r="A12" s="13">
        <v>1</v>
      </c>
      <c r="B12" s="47">
        <v>8.5111849999999993</v>
      </c>
      <c r="C12" s="47">
        <v>8.8906109999999998</v>
      </c>
      <c r="D12" s="13">
        <v>0.102713</v>
      </c>
      <c r="E12" s="13">
        <v>0.11004899999999999</v>
      </c>
      <c r="G12" s="4"/>
      <c r="H12" s="4"/>
      <c r="I12" s="4"/>
    </row>
    <row r="13" spans="1:11" s="2" customFormat="1" ht="15" customHeight="1">
      <c r="A13" s="13">
        <v>2</v>
      </c>
      <c r="B13" s="47">
        <v>9.3802909999999997</v>
      </c>
      <c r="C13" s="47">
        <v>9.3969839999999998</v>
      </c>
      <c r="D13" s="13">
        <v>0.106474</v>
      </c>
      <c r="E13" s="13">
        <v>0.114924</v>
      </c>
      <c r="G13" s="4"/>
      <c r="H13" s="4"/>
      <c r="I13" s="4"/>
    </row>
    <row r="14" spans="1:11" s="2" customFormat="1" ht="15" customHeight="1">
      <c r="A14" s="13">
        <v>3</v>
      </c>
      <c r="B14" s="47">
        <v>9.090363</v>
      </c>
      <c r="C14" s="47">
        <v>9.454148</v>
      </c>
      <c r="D14" s="13">
        <v>9.9965999999999999E-2</v>
      </c>
      <c r="E14" s="13">
        <v>9.9404000000000006E-2</v>
      </c>
      <c r="G14" s="4"/>
      <c r="H14" s="4"/>
      <c r="I14" s="4"/>
    </row>
    <row r="15" spans="1:11" s="2" customFormat="1" ht="15" customHeight="1">
      <c r="A15" s="13">
        <v>4</v>
      </c>
      <c r="B15" s="47">
        <v>9.035558</v>
      </c>
      <c r="C15" s="47">
        <v>9.1103380000000005</v>
      </c>
      <c r="D15" s="48">
        <v>9.7166000000000002E-2</v>
      </c>
      <c r="E15" s="13">
        <v>0.100075</v>
      </c>
      <c r="G15" s="4"/>
      <c r="H15" s="4"/>
      <c r="I15" s="4"/>
    </row>
    <row r="16" spans="1:11" s="2" customFormat="1" ht="15" customHeight="1">
      <c r="A16" s="13">
        <v>5</v>
      </c>
      <c r="B16" s="47">
        <v>9.4621289999999991</v>
      </c>
      <c r="C16" s="47">
        <v>9.3708930000000006</v>
      </c>
      <c r="D16" s="13">
        <v>0.10556599999999999</v>
      </c>
      <c r="E16" s="13">
        <v>0.105585</v>
      </c>
      <c r="G16" s="4"/>
      <c r="H16" s="4"/>
      <c r="I16" s="4"/>
    </row>
    <row r="17" spans="1:11" s="2" customFormat="1" ht="15" customHeight="1">
      <c r="A17" s="13">
        <v>6</v>
      </c>
      <c r="B17" s="47">
        <v>8.9621420000000001</v>
      </c>
      <c r="C17" s="47">
        <v>10.183799</v>
      </c>
      <c r="D17" s="13">
        <v>9.7881999999999997E-2</v>
      </c>
      <c r="E17" s="13">
        <v>0.101075</v>
      </c>
      <c r="G17" s="4"/>
      <c r="H17" s="4"/>
      <c r="I17" s="4"/>
    </row>
    <row r="18" spans="1:11" s="2" customFormat="1" ht="15" customHeight="1">
      <c r="A18" s="13" t="s">
        <v>26</v>
      </c>
      <c r="B18" s="49">
        <f>ROUND(AVERAGE(B12:B17),6)</f>
        <v>9.0736109999999996</v>
      </c>
      <c r="C18" s="49">
        <f>ROUND(AVERAGE(C12:C17),6)</f>
        <v>9.4011289999999992</v>
      </c>
      <c r="D18" s="49">
        <f>ROUND(AVERAGE(D12:D17),6)</f>
        <v>0.101628</v>
      </c>
      <c r="E18" s="49">
        <f>ROUND(AVERAGE(E12:E17),6)</f>
        <v>0.105185</v>
      </c>
      <c r="G18" s="4"/>
      <c r="H18" s="4"/>
      <c r="I18" s="4"/>
    </row>
    <row r="19" spans="1:11" s="2" customFormat="1" ht="15" customHeight="1">
      <c r="A19" s="13" t="s">
        <v>4</v>
      </c>
      <c r="B19" s="49">
        <f>ROUND(STDEV(B12:B17),6)</f>
        <v>0.33925699999999998</v>
      </c>
      <c r="C19" s="49">
        <f>ROUND(STDEV(C12:C17),6)</f>
        <v>0.43852099999999999</v>
      </c>
      <c r="D19" s="49">
        <f>ROUND(STDEV(D12:D17),6)</f>
        <v>3.921E-3</v>
      </c>
      <c r="E19" s="49">
        <f>ROUND(STDEV(E12:E17),6)</f>
        <v>6.2459999999999998E-3</v>
      </c>
      <c r="G19" s="4"/>
      <c r="H19" s="4"/>
      <c r="I19" s="4"/>
    </row>
    <row r="20" spans="1:11" s="2" customFormat="1" ht="15" customHeight="1">
      <c r="A20" s="13" t="s">
        <v>263</v>
      </c>
      <c r="B20" s="50">
        <f>ROUND(B19/B18*100,1)</f>
        <v>3.7</v>
      </c>
      <c r="C20" s="50">
        <f>ROUND(C19/C18*100,1)</f>
        <v>4.7</v>
      </c>
      <c r="D20" s="50">
        <f>ROUND(D19/D18*100,1)</f>
        <v>3.9</v>
      </c>
      <c r="E20" s="50">
        <f>ROUND(E19/E18*100,1)</f>
        <v>5.9</v>
      </c>
      <c r="G20" s="4"/>
      <c r="H20" s="4"/>
      <c r="I20" s="4"/>
    </row>
    <row r="21" spans="1:11">
      <c r="A21" s="51" t="s">
        <v>264</v>
      </c>
      <c r="B21" s="119">
        <f>ROUND((C18-B18)/B18*100,1)</f>
        <v>3.6</v>
      </c>
      <c r="C21" s="119"/>
      <c r="D21" s="120">
        <f>ROUND((E18-D18)/D18*100,1)</f>
        <v>3.5</v>
      </c>
      <c r="E21" s="120"/>
      <c r="F21" s="2"/>
      <c r="I21" s="4"/>
      <c r="J21" s="2"/>
      <c r="K21" s="2"/>
    </row>
    <row r="22" spans="1:11">
      <c r="A22" s="8"/>
      <c r="B22" s="8"/>
      <c r="C22" s="8"/>
      <c r="D22" s="8"/>
      <c r="E22" s="8"/>
      <c r="F22" s="2"/>
      <c r="I22" s="4"/>
      <c r="J22" s="2"/>
      <c r="K22" s="2"/>
    </row>
    <row r="23" spans="1:11">
      <c r="A23" s="8"/>
      <c r="B23" s="8"/>
      <c r="C23" s="8"/>
      <c r="D23" s="8"/>
      <c r="E23" s="8"/>
      <c r="F23" s="2"/>
      <c r="I23" s="4"/>
      <c r="J23" s="2"/>
      <c r="K23" s="2"/>
    </row>
    <row r="24" spans="1:11" ht="26.25">
      <c r="B24" s="34" t="s">
        <v>103</v>
      </c>
      <c r="C24" s="13" t="s">
        <v>104</v>
      </c>
      <c r="D24" s="13" t="s">
        <v>105</v>
      </c>
      <c r="E24" s="35" t="s">
        <v>106</v>
      </c>
    </row>
    <row r="25" spans="1:11">
      <c r="B25" s="42" t="s">
        <v>148</v>
      </c>
      <c r="C25" s="83">
        <v>5275219</v>
      </c>
      <c r="D25" s="83">
        <v>541832</v>
      </c>
      <c r="E25" s="59">
        <f>ROUND(D25/C25,6)</f>
        <v>0.102713</v>
      </c>
    </row>
    <row r="26" spans="1:11">
      <c r="B26" s="42" t="s">
        <v>149</v>
      </c>
      <c r="C26" s="83">
        <v>5261664</v>
      </c>
      <c r="D26" s="83">
        <v>560229</v>
      </c>
      <c r="E26" s="59">
        <f t="shared" ref="E26:E36" si="0">ROUND(D26/C26,6)</f>
        <v>0.106474</v>
      </c>
    </row>
    <row r="27" spans="1:11">
      <c r="B27" s="42" t="s">
        <v>150</v>
      </c>
      <c r="C27" s="83">
        <v>5343831</v>
      </c>
      <c r="D27" s="83">
        <v>534199</v>
      </c>
      <c r="E27" s="59">
        <f t="shared" si="0"/>
        <v>9.9965999999999999E-2</v>
      </c>
    </row>
    <row r="28" spans="1:11">
      <c r="B28" s="42" t="s">
        <v>151</v>
      </c>
      <c r="C28" s="83">
        <v>5510268</v>
      </c>
      <c r="D28" s="83">
        <v>535411</v>
      </c>
      <c r="E28" s="59">
        <f t="shared" si="0"/>
        <v>9.7166000000000002E-2</v>
      </c>
    </row>
    <row r="29" spans="1:11">
      <c r="B29" s="42" t="s">
        <v>152</v>
      </c>
      <c r="C29" s="83">
        <v>5435499</v>
      </c>
      <c r="D29" s="83">
        <v>573806</v>
      </c>
      <c r="E29" s="59">
        <f t="shared" si="0"/>
        <v>0.10556599999999999</v>
      </c>
    </row>
    <row r="30" spans="1:11">
      <c r="B30" s="42" t="s">
        <v>153</v>
      </c>
      <c r="C30" s="83">
        <v>5422659</v>
      </c>
      <c r="D30" s="83">
        <v>530778</v>
      </c>
      <c r="E30" s="59">
        <f t="shared" si="0"/>
        <v>9.7881999999999997E-2</v>
      </c>
    </row>
    <row r="31" spans="1:11">
      <c r="B31" s="42" t="s">
        <v>160</v>
      </c>
      <c r="C31" s="83">
        <v>5259018</v>
      </c>
      <c r="D31" s="83">
        <v>578750</v>
      </c>
      <c r="E31" s="59">
        <f t="shared" si="0"/>
        <v>0.11004899999999999</v>
      </c>
    </row>
    <row r="32" spans="1:11">
      <c r="B32" s="42" t="s">
        <v>161</v>
      </c>
      <c r="C32" s="83">
        <v>5080145</v>
      </c>
      <c r="D32" s="83">
        <v>583829</v>
      </c>
      <c r="E32" s="59">
        <f t="shared" si="0"/>
        <v>0.114924</v>
      </c>
    </row>
    <row r="33" spans="2:5">
      <c r="B33" s="42" t="s">
        <v>162</v>
      </c>
      <c r="C33" s="83">
        <v>5148484</v>
      </c>
      <c r="D33" s="83">
        <v>511778</v>
      </c>
      <c r="E33" s="59">
        <f t="shared" si="0"/>
        <v>9.9404000000000006E-2</v>
      </c>
    </row>
    <row r="34" spans="2:5">
      <c r="B34" s="42" t="s">
        <v>163</v>
      </c>
      <c r="C34" s="83">
        <v>5418921</v>
      </c>
      <c r="D34" s="83">
        <v>542296</v>
      </c>
      <c r="E34" s="59">
        <f t="shared" si="0"/>
        <v>0.100075</v>
      </c>
    </row>
    <row r="35" spans="2:5">
      <c r="B35" s="42" t="s">
        <v>164</v>
      </c>
      <c r="C35" s="83">
        <v>5184809</v>
      </c>
      <c r="D35" s="83">
        <v>547439</v>
      </c>
      <c r="E35" s="59">
        <f t="shared" si="0"/>
        <v>0.105585</v>
      </c>
    </row>
    <row r="36" spans="2:5">
      <c r="B36" s="42" t="s">
        <v>165</v>
      </c>
      <c r="C36" s="83">
        <v>5439333</v>
      </c>
      <c r="D36" s="83">
        <v>549781</v>
      </c>
      <c r="E36" s="59">
        <f t="shared" si="0"/>
        <v>0.101075</v>
      </c>
    </row>
    <row r="37" spans="2:5">
      <c r="B37" s="42"/>
      <c r="C37" s="83"/>
      <c r="D37" s="83"/>
    </row>
  </sheetData>
  <mergeCells count="13">
    <mergeCell ref="B21:C21"/>
    <mergeCell ref="D21:E21"/>
    <mergeCell ref="D8:E8"/>
    <mergeCell ref="B10:C10"/>
    <mergeCell ref="A2:B2"/>
    <mergeCell ref="A6:A11"/>
    <mergeCell ref="B6:C6"/>
    <mergeCell ref="D6:E6"/>
    <mergeCell ref="B7:C7"/>
    <mergeCell ref="D7:E7"/>
    <mergeCell ref="B8:C8"/>
    <mergeCell ref="D10:E10"/>
    <mergeCell ref="A5:E5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8" orientation="portrait" r:id="rId1"/>
  <headerFooter>
    <oddHeader>&amp;C 1632MV7生物分析方法学验证数据</oddHeader>
    <oddFooter>&amp;C第&amp;P页，共&amp;N页</oddFooter>
  </headerFooter>
  <colBreaks count="1" manualBreakCount="1">
    <brk id="5" max="36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35"/>
  <sheetViews>
    <sheetView view="pageBreakPreview" zoomScaleNormal="100" zoomScaleSheetLayoutView="100" workbookViewId="0">
      <selection activeCell="L17" sqref="L17"/>
    </sheetView>
  </sheetViews>
  <sheetFormatPr defaultColWidth="8.875" defaultRowHeight="13.5"/>
  <cols>
    <col min="1" max="1" width="15.875" style="4" customWidth="1"/>
    <col min="2" max="7" width="16.375" style="4" customWidth="1"/>
    <col min="8" max="10" width="8.875" style="4"/>
    <col min="11" max="11" width="8.875" style="56"/>
    <col min="12" max="12" width="10.25" style="54" bestFit="1" customWidth="1"/>
    <col min="13" max="16384" width="8.875" style="4"/>
  </cols>
  <sheetData>
    <row r="2" spans="1:12">
      <c r="A2" s="4" t="s">
        <v>273</v>
      </c>
    </row>
    <row r="4" spans="1:12">
      <c r="A4" s="4" t="s">
        <v>92</v>
      </c>
      <c r="I4" s="6"/>
      <c r="K4" s="42" t="s">
        <v>56</v>
      </c>
      <c r="L4" s="57">
        <v>45528</v>
      </c>
    </row>
    <row r="5" spans="1:12" s="2" customFormat="1" ht="15" customHeight="1">
      <c r="A5" s="87" t="s">
        <v>147</v>
      </c>
      <c r="B5" s="121"/>
      <c r="C5" s="121"/>
      <c r="D5" s="121"/>
      <c r="E5" s="121"/>
      <c r="F5" s="121"/>
      <c r="G5" s="88"/>
      <c r="I5" s="6"/>
      <c r="J5" s="4"/>
      <c r="K5" s="42" t="s">
        <v>57</v>
      </c>
      <c r="L5" s="57">
        <v>45594</v>
      </c>
    </row>
    <row r="6" spans="1:12" s="2" customFormat="1" ht="15" customHeight="1">
      <c r="A6" s="124"/>
      <c r="B6" s="96" t="s">
        <v>0</v>
      </c>
      <c r="C6" s="96"/>
      <c r="D6" s="96" t="s">
        <v>5</v>
      </c>
      <c r="E6" s="96"/>
      <c r="F6" s="96" t="s">
        <v>21</v>
      </c>
      <c r="G6" s="96"/>
      <c r="I6" s="6"/>
      <c r="J6" s="4"/>
      <c r="K6" s="42" t="s">
        <v>58</v>
      </c>
      <c r="L6" s="58">
        <f>L5-L4</f>
        <v>66</v>
      </c>
    </row>
    <row r="7" spans="1:12" s="2" customFormat="1" ht="15" customHeight="1">
      <c r="A7" s="106"/>
      <c r="B7" s="142" t="s">
        <v>369</v>
      </c>
      <c r="C7" s="99"/>
      <c r="D7" s="142" t="s">
        <v>369</v>
      </c>
      <c r="E7" s="99"/>
      <c r="F7" s="142" t="s">
        <v>369</v>
      </c>
      <c r="G7" s="99"/>
      <c r="K7" s="42"/>
      <c r="L7" s="60"/>
    </row>
    <row r="8" spans="1:12" s="2" customFormat="1" ht="15" customHeight="1">
      <c r="A8" s="106"/>
      <c r="B8" s="96" t="s">
        <v>262</v>
      </c>
      <c r="C8" s="96"/>
      <c r="D8" s="96" t="s">
        <v>262</v>
      </c>
      <c r="E8" s="96"/>
      <c r="F8" s="96" t="s">
        <v>262</v>
      </c>
      <c r="G8" s="96"/>
      <c r="K8" s="42"/>
      <c r="L8" s="60"/>
    </row>
    <row r="9" spans="1:12" s="2" customFormat="1" ht="15" customHeight="1">
      <c r="A9" s="106"/>
      <c r="B9" s="46">
        <v>4</v>
      </c>
      <c r="C9" s="13" t="s">
        <v>27</v>
      </c>
      <c r="D9" s="46">
        <v>2000</v>
      </c>
      <c r="E9" s="13" t="s">
        <v>15</v>
      </c>
      <c r="F9" s="46">
        <v>3</v>
      </c>
      <c r="G9" s="13" t="s">
        <v>27</v>
      </c>
      <c r="K9" s="42"/>
      <c r="L9" s="60"/>
    </row>
    <row r="10" spans="1:12" s="2" customFormat="1" ht="15" customHeight="1">
      <c r="A10" s="106"/>
      <c r="B10" s="96" t="s">
        <v>29</v>
      </c>
      <c r="C10" s="96"/>
      <c r="D10" s="96" t="s">
        <v>29</v>
      </c>
      <c r="E10" s="96"/>
      <c r="F10" s="96" t="s">
        <v>29</v>
      </c>
      <c r="G10" s="96"/>
      <c r="K10" s="42"/>
      <c r="L10" s="60"/>
    </row>
    <row r="11" spans="1:12" s="2" customFormat="1" ht="15" customHeight="1">
      <c r="A11" s="106"/>
      <c r="B11" s="13" t="s">
        <v>48</v>
      </c>
      <c r="C11" s="13" t="s">
        <v>30</v>
      </c>
      <c r="D11" s="13" t="s">
        <v>48</v>
      </c>
      <c r="E11" s="13" t="s">
        <v>30</v>
      </c>
      <c r="F11" s="13" t="s">
        <v>48</v>
      </c>
      <c r="G11" s="13" t="s">
        <v>30</v>
      </c>
      <c r="I11" s="60"/>
      <c r="J11" s="60"/>
      <c r="K11" s="60"/>
      <c r="L11" s="60"/>
    </row>
    <row r="12" spans="1:12" s="2" customFormat="1" ht="15" customHeight="1">
      <c r="A12" s="13">
        <v>1</v>
      </c>
      <c r="B12" s="47">
        <v>0.34442099999999998</v>
      </c>
      <c r="C12" s="47">
        <v>0.34642400000000001</v>
      </c>
      <c r="D12" s="47">
        <v>8.5757320000000004</v>
      </c>
      <c r="E12" s="47">
        <v>9.3010699999999993</v>
      </c>
      <c r="F12" s="47">
        <v>0.11214</v>
      </c>
      <c r="G12" s="47">
        <v>0.10671899999999999</v>
      </c>
      <c r="I12" s="60"/>
      <c r="J12" s="60"/>
      <c r="K12" s="60"/>
      <c r="L12" s="60"/>
    </row>
    <row r="13" spans="1:12" s="2" customFormat="1" ht="15" customHeight="1">
      <c r="A13" s="13">
        <v>2</v>
      </c>
      <c r="B13" s="47">
        <v>0.32679999999999998</v>
      </c>
      <c r="C13" s="47">
        <v>0.34390700000000002</v>
      </c>
      <c r="D13" s="47">
        <v>8.6993179999999999</v>
      </c>
      <c r="E13" s="47">
        <v>9.3933009999999992</v>
      </c>
      <c r="F13" s="47">
        <v>0.112956</v>
      </c>
      <c r="G13" s="47">
        <v>0.10893600000000001</v>
      </c>
      <c r="I13" s="60"/>
      <c r="J13" s="60"/>
      <c r="K13" s="60"/>
      <c r="L13" s="60"/>
    </row>
    <row r="14" spans="1:12" s="2" customFormat="1" ht="15" customHeight="1">
      <c r="A14" s="13">
        <v>3</v>
      </c>
      <c r="B14" s="47">
        <v>0.33796900000000002</v>
      </c>
      <c r="C14" s="47">
        <v>0.35364899999999999</v>
      </c>
      <c r="D14" s="47">
        <v>8.6796120000000005</v>
      </c>
      <c r="E14" s="47">
        <v>8.9051899999999993</v>
      </c>
      <c r="F14" s="47">
        <v>0.110512</v>
      </c>
      <c r="G14" s="47">
        <v>0.10586</v>
      </c>
      <c r="I14" s="60"/>
      <c r="J14" s="60"/>
      <c r="K14" s="60"/>
      <c r="L14" s="60"/>
    </row>
    <row r="15" spans="1:12" s="2" customFormat="1" ht="15" customHeight="1">
      <c r="A15" s="13">
        <v>4</v>
      </c>
      <c r="B15" s="47">
        <v>0.34401100000000001</v>
      </c>
      <c r="C15" s="47">
        <v>0.36226700000000001</v>
      </c>
      <c r="D15" s="47">
        <v>9.1469140000000007</v>
      </c>
      <c r="E15" s="47">
        <v>9.1204619999999998</v>
      </c>
      <c r="F15" s="47">
        <v>0.108003</v>
      </c>
      <c r="G15" s="47">
        <v>0.103702</v>
      </c>
      <c r="I15" s="60"/>
      <c r="J15" s="60"/>
      <c r="K15" s="60"/>
      <c r="L15" s="60"/>
    </row>
    <row r="16" spans="1:12" s="2" customFormat="1" ht="15" customHeight="1">
      <c r="A16" s="13">
        <v>5</v>
      </c>
      <c r="B16" s="47">
        <v>0.34345199999999998</v>
      </c>
      <c r="C16" s="47">
        <v>0.34622599999999998</v>
      </c>
      <c r="D16" s="47">
        <v>9.0635549999999991</v>
      </c>
      <c r="E16" s="47">
        <v>9.1532300000000006</v>
      </c>
      <c r="F16" s="47">
        <v>0.10706300000000001</v>
      </c>
      <c r="G16" s="47">
        <v>0.106</v>
      </c>
      <c r="I16" s="60"/>
      <c r="J16" s="60"/>
      <c r="K16" s="60"/>
      <c r="L16" s="60"/>
    </row>
    <row r="17" spans="1:12" s="2" customFormat="1" ht="15" customHeight="1">
      <c r="A17" s="13">
        <v>6</v>
      </c>
      <c r="B17" s="47">
        <v>0.32094800000000001</v>
      </c>
      <c r="C17" s="47">
        <v>0.37506699999999998</v>
      </c>
      <c r="D17" s="47">
        <v>8.3126990000000003</v>
      </c>
      <c r="E17" s="47">
        <v>10.276828999999999</v>
      </c>
      <c r="F17" s="47">
        <v>0.112732</v>
      </c>
      <c r="G17" s="47">
        <v>0.101908</v>
      </c>
      <c r="I17" s="60"/>
      <c r="J17" s="60"/>
      <c r="K17" s="60"/>
      <c r="L17" s="60"/>
    </row>
    <row r="18" spans="1:12" s="2" customFormat="1" ht="15" customHeight="1">
      <c r="A18" s="13" t="s">
        <v>26</v>
      </c>
      <c r="B18" s="49">
        <f t="shared" ref="B18:G18" si="0">ROUND(AVERAGE(B12:B17),6)</f>
        <v>0.33626699999999998</v>
      </c>
      <c r="C18" s="49">
        <f t="shared" si="0"/>
        <v>0.35459000000000002</v>
      </c>
      <c r="D18" s="49">
        <f t="shared" si="0"/>
        <v>8.7463049999999996</v>
      </c>
      <c r="E18" s="49">
        <f t="shared" si="0"/>
        <v>9.3583470000000002</v>
      </c>
      <c r="F18" s="49">
        <f t="shared" si="0"/>
        <v>0.110568</v>
      </c>
      <c r="G18" s="49">
        <f t="shared" si="0"/>
        <v>0.105521</v>
      </c>
      <c r="I18" s="60"/>
      <c r="J18" s="60"/>
      <c r="K18" s="60"/>
      <c r="L18" s="60"/>
    </row>
    <row r="19" spans="1:12" s="2" customFormat="1" ht="15" customHeight="1">
      <c r="A19" s="13" t="s">
        <v>4</v>
      </c>
      <c r="B19" s="49">
        <f t="shared" ref="B19:G19" si="1">ROUND(STDEV(B12:B17),6)</f>
        <v>1.0052999999999999E-2</v>
      </c>
      <c r="C19" s="49">
        <f t="shared" si="1"/>
        <v>1.2082000000000001E-2</v>
      </c>
      <c r="D19" s="49">
        <f t="shared" si="1"/>
        <v>0.31141600000000003</v>
      </c>
      <c r="E19" s="49">
        <f t="shared" si="1"/>
        <v>0.48002600000000001</v>
      </c>
      <c r="F19" s="49">
        <f t="shared" si="1"/>
        <v>2.519E-3</v>
      </c>
      <c r="G19" s="49">
        <f t="shared" si="1"/>
        <v>2.441E-3</v>
      </c>
      <c r="I19" s="60"/>
      <c r="J19" s="60"/>
      <c r="K19" s="60"/>
      <c r="L19" s="60"/>
    </row>
    <row r="20" spans="1:12" s="2" customFormat="1" ht="15" customHeight="1">
      <c r="A20" s="13" t="s">
        <v>263</v>
      </c>
      <c r="B20" s="50">
        <f>ROUND(B19/B18*100,1)</f>
        <v>3</v>
      </c>
      <c r="C20" s="50">
        <f>ROUND(C19/C18*100,1)</f>
        <v>3.4</v>
      </c>
      <c r="D20" s="50">
        <f>ROUND(D19/D18*100,1)</f>
        <v>3.6</v>
      </c>
      <c r="E20" s="50">
        <f>ROUND(E19/E18*100,1)</f>
        <v>5.0999999999999996</v>
      </c>
      <c r="F20" s="50">
        <f t="shared" ref="F20:G20" si="2">ROUND(F19/F18*100,1)</f>
        <v>2.2999999999999998</v>
      </c>
      <c r="G20" s="50">
        <f t="shared" si="2"/>
        <v>2.2999999999999998</v>
      </c>
      <c r="I20" s="60"/>
      <c r="J20" s="60"/>
      <c r="K20" s="60"/>
      <c r="L20" s="60"/>
    </row>
    <row r="21" spans="1:12">
      <c r="A21" s="51" t="s">
        <v>264</v>
      </c>
      <c r="B21" s="119">
        <f>ROUND((C18-B18)/B18*100,1)</f>
        <v>5.4</v>
      </c>
      <c r="C21" s="119"/>
      <c r="D21" s="123">
        <f>ROUND((E18-D18)/D18*100,1)</f>
        <v>7</v>
      </c>
      <c r="E21" s="123"/>
      <c r="F21" s="119">
        <f>ROUND((G18-F18)/F18*100,1)</f>
        <v>-4.5999999999999996</v>
      </c>
      <c r="G21" s="119"/>
      <c r="H21" s="2"/>
      <c r="I21" s="60"/>
      <c r="J21" s="60"/>
      <c r="K21" s="60"/>
    </row>
    <row r="22" spans="1:12">
      <c r="H22" s="2"/>
      <c r="I22" s="60"/>
      <c r="J22" s="60"/>
      <c r="K22" s="60"/>
    </row>
    <row r="23" spans="1:12" ht="26.25">
      <c r="B23" s="52" t="s">
        <v>59</v>
      </c>
      <c r="C23" s="11" t="s">
        <v>60</v>
      </c>
      <c r="D23" s="11" t="s">
        <v>61</v>
      </c>
      <c r="E23" s="53" t="s">
        <v>62</v>
      </c>
      <c r="I23" s="60"/>
      <c r="J23" s="60"/>
      <c r="K23" s="60"/>
    </row>
    <row r="24" spans="1:12">
      <c r="B24" s="82" t="s">
        <v>166</v>
      </c>
      <c r="C24" s="81">
        <v>4679454</v>
      </c>
      <c r="D24" s="81">
        <v>524753</v>
      </c>
      <c r="E24" s="55">
        <f>ROUND(D24/C24,6)</f>
        <v>0.11214</v>
      </c>
      <c r="I24" s="60"/>
      <c r="J24" s="60"/>
      <c r="K24" s="60"/>
    </row>
    <row r="25" spans="1:12">
      <c r="B25" s="82" t="s">
        <v>167</v>
      </c>
      <c r="C25" s="81">
        <v>4829744</v>
      </c>
      <c r="D25" s="81">
        <v>545550</v>
      </c>
      <c r="E25" s="55">
        <f t="shared" ref="E25:E35" si="3">ROUND(D25/C25,6)</f>
        <v>0.112956</v>
      </c>
    </row>
    <row r="26" spans="1:12">
      <c r="B26" s="82" t="s">
        <v>168</v>
      </c>
      <c r="C26" s="81">
        <v>4646596</v>
      </c>
      <c r="D26" s="81">
        <v>513503</v>
      </c>
      <c r="E26" s="55">
        <f t="shared" si="3"/>
        <v>0.110512</v>
      </c>
    </row>
    <row r="27" spans="1:12">
      <c r="B27" s="82" t="s">
        <v>169</v>
      </c>
      <c r="C27" s="81">
        <v>4675000</v>
      </c>
      <c r="D27" s="81">
        <v>504915</v>
      </c>
      <c r="E27" s="55">
        <f t="shared" si="3"/>
        <v>0.108003</v>
      </c>
    </row>
    <row r="28" spans="1:12">
      <c r="B28" s="82" t="s">
        <v>170</v>
      </c>
      <c r="C28" s="81">
        <v>4850427</v>
      </c>
      <c r="D28" s="81">
        <v>519302</v>
      </c>
      <c r="E28" s="55">
        <f t="shared" si="3"/>
        <v>0.10706300000000001</v>
      </c>
    </row>
    <row r="29" spans="1:12">
      <c r="B29" s="82" t="s">
        <v>171</v>
      </c>
      <c r="C29" s="81">
        <v>4729617</v>
      </c>
      <c r="D29" s="81">
        <v>533179</v>
      </c>
      <c r="E29" s="55">
        <f t="shared" si="3"/>
        <v>0.112732</v>
      </c>
    </row>
    <row r="30" spans="1:12">
      <c r="B30" s="82" t="s">
        <v>179</v>
      </c>
      <c r="C30" s="81">
        <v>5302945</v>
      </c>
      <c r="D30" s="81">
        <v>565925</v>
      </c>
      <c r="E30" s="55">
        <f t="shared" si="3"/>
        <v>0.10671899999999999</v>
      </c>
    </row>
    <row r="31" spans="1:12">
      <c r="B31" s="82" t="s">
        <v>180</v>
      </c>
      <c r="C31" s="81">
        <v>5196161</v>
      </c>
      <c r="D31" s="81">
        <v>566050</v>
      </c>
      <c r="E31" s="55">
        <f t="shared" si="3"/>
        <v>0.10893600000000001</v>
      </c>
    </row>
    <row r="32" spans="1:12">
      <c r="B32" s="82" t="s">
        <v>181</v>
      </c>
      <c r="C32" s="81">
        <v>5261823</v>
      </c>
      <c r="D32" s="81">
        <v>557016</v>
      </c>
      <c r="E32" s="55">
        <f t="shared" si="3"/>
        <v>0.10586</v>
      </c>
    </row>
    <row r="33" spans="2:5">
      <c r="B33" s="82" t="s">
        <v>182</v>
      </c>
      <c r="C33" s="81">
        <v>5256819</v>
      </c>
      <c r="D33" s="81">
        <v>545143</v>
      </c>
      <c r="E33" s="55">
        <f t="shared" si="3"/>
        <v>0.103702</v>
      </c>
    </row>
    <row r="34" spans="2:5">
      <c r="B34" s="82" t="s">
        <v>183</v>
      </c>
      <c r="C34" s="81">
        <v>5179295</v>
      </c>
      <c r="D34" s="81">
        <v>549003</v>
      </c>
      <c r="E34" s="55">
        <f t="shared" si="3"/>
        <v>0.106</v>
      </c>
    </row>
    <row r="35" spans="2:5">
      <c r="B35" s="82" t="s">
        <v>184</v>
      </c>
      <c r="C35" s="81">
        <v>5262675</v>
      </c>
      <c r="D35" s="81">
        <v>536310</v>
      </c>
      <c r="E35" s="55">
        <f t="shared" si="3"/>
        <v>0.101908</v>
      </c>
    </row>
  </sheetData>
  <mergeCells count="17">
    <mergeCell ref="D10:E10"/>
    <mergeCell ref="B10:C10"/>
    <mergeCell ref="B21:C21"/>
    <mergeCell ref="D21:E21"/>
    <mergeCell ref="F21:G21"/>
    <mergeCell ref="A5:G5"/>
    <mergeCell ref="A6:A11"/>
    <mergeCell ref="F6:G6"/>
    <mergeCell ref="F7:G7"/>
    <mergeCell ref="D6:E6"/>
    <mergeCell ref="B6:C6"/>
    <mergeCell ref="D8:E8"/>
    <mergeCell ref="D7:E7"/>
    <mergeCell ref="F8:G8"/>
    <mergeCell ref="B7:C7"/>
    <mergeCell ref="B8:C8"/>
    <mergeCell ref="F10:G10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4"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W38"/>
  <sheetViews>
    <sheetView view="pageBreakPreview" zoomScaleNormal="100" zoomScaleSheetLayoutView="100" workbookViewId="0">
      <selection activeCell="M21" sqref="M21"/>
    </sheetView>
  </sheetViews>
  <sheetFormatPr defaultColWidth="8.875" defaultRowHeight="13.5"/>
  <cols>
    <col min="1" max="1" width="13.5" style="4" customWidth="1"/>
    <col min="2" max="2" width="14.625" style="4" customWidth="1"/>
    <col min="3" max="3" width="10.625" style="4" customWidth="1"/>
    <col min="4" max="4" width="12.875" style="4" customWidth="1"/>
    <col min="5" max="5" width="13.125" style="4" customWidth="1"/>
    <col min="6" max="6" width="14.5" style="4" customWidth="1"/>
    <col min="7" max="7" width="13.375" style="4" customWidth="1"/>
    <col min="8" max="9" width="8.875" style="4"/>
    <col min="10" max="10" width="8.875" style="56"/>
    <col min="11" max="11" width="10.25" style="54" bestFit="1" customWidth="1"/>
    <col min="12" max="12" width="8.875" style="4"/>
    <col min="13" max="13" width="16.625" style="4" customWidth="1"/>
    <col min="14" max="14" width="8.875" style="4"/>
    <col min="15" max="15" width="9" style="4" bestFit="1" customWidth="1"/>
    <col min="16" max="17" width="11.75" style="4" customWidth="1"/>
    <col min="18" max="18" width="14.75" style="4" customWidth="1"/>
    <col min="19" max="19" width="11.75" style="4" customWidth="1"/>
    <col min="20" max="22" width="8.875" style="4"/>
    <col min="23" max="23" width="10.25" style="4" bestFit="1" customWidth="1"/>
    <col min="24" max="16384" width="8.875" style="4"/>
  </cols>
  <sheetData>
    <row r="1" spans="1:11">
      <c r="K1" s="4"/>
    </row>
    <row r="2" spans="1:11">
      <c r="A2" s="4" t="s">
        <v>265</v>
      </c>
      <c r="K2" s="4"/>
    </row>
    <row r="3" spans="1:11">
      <c r="K3" s="4"/>
    </row>
    <row r="4" spans="1:11">
      <c r="A4" s="4" t="s">
        <v>92</v>
      </c>
      <c r="K4" s="4"/>
    </row>
    <row r="5" spans="1:11">
      <c r="A5" s="4" t="s">
        <v>140</v>
      </c>
      <c r="B5" s="5"/>
      <c r="C5" s="5"/>
      <c r="D5" s="5"/>
      <c r="E5" s="5"/>
      <c r="H5" s="6"/>
      <c r="J5" s="42" t="s">
        <v>56</v>
      </c>
      <c r="K5" s="61">
        <v>45531</v>
      </c>
    </row>
    <row r="6" spans="1:11" ht="14.1" customHeight="1">
      <c r="A6" s="100" t="s">
        <v>130</v>
      </c>
      <c r="B6" s="100" t="s">
        <v>22</v>
      </c>
      <c r="C6" s="13" t="s">
        <v>3</v>
      </c>
      <c r="D6" s="96" t="s">
        <v>266</v>
      </c>
      <c r="E6" s="13" t="s">
        <v>1</v>
      </c>
      <c r="F6" s="96" t="s">
        <v>266</v>
      </c>
      <c r="H6" s="6"/>
      <c r="J6" s="42" t="s">
        <v>57</v>
      </c>
      <c r="K6" s="61">
        <v>45595</v>
      </c>
    </row>
    <row r="7" spans="1:11" ht="14.1" customHeight="1">
      <c r="A7" s="130"/>
      <c r="B7" s="130"/>
      <c r="C7" s="62">
        <v>0.6</v>
      </c>
      <c r="D7" s="96"/>
      <c r="E7" s="62">
        <v>75</v>
      </c>
      <c r="F7" s="96"/>
      <c r="H7" s="6"/>
      <c r="J7" s="42" t="s">
        <v>58</v>
      </c>
      <c r="K7" s="58">
        <f>K6-K5</f>
        <v>64</v>
      </c>
    </row>
    <row r="8" spans="1:11" ht="15" customHeight="1">
      <c r="A8" s="101"/>
      <c r="B8" s="101"/>
      <c r="C8" s="28" t="s">
        <v>15</v>
      </c>
      <c r="D8" s="96"/>
      <c r="E8" s="28" t="s">
        <v>15</v>
      </c>
      <c r="F8" s="96"/>
      <c r="K8" s="4"/>
    </row>
    <row r="9" spans="1:11" ht="15" customHeight="1">
      <c r="A9" s="112">
        <v>45596</v>
      </c>
      <c r="B9" s="100">
        <v>9</v>
      </c>
      <c r="C9" s="31">
        <v>0.58499999999999996</v>
      </c>
      <c r="D9" s="29">
        <f t="shared" ref="D9:D14" si="0">ROUND((C9-C$7)/C$7*100,1)</f>
        <v>-2.5</v>
      </c>
      <c r="E9" s="31">
        <v>86.597999999999999</v>
      </c>
      <c r="F9" s="29">
        <f t="shared" ref="F9:F14" si="1">ROUND((E9-E$7)/E$7*100,1)</f>
        <v>15.5</v>
      </c>
      <c r="K9" s="4"/>
    </row>
    <row r="10" spans="1:11" ht="15" customHeight="1">
      <c r="A10" s="112"/>
      <c r="B10" s="130"/>
      <c r="C10" s="31">
        <v>0.59399999999999997</v>
      </c>
      <c r="D10" s="29">
        <f t="shared" si="0"/>
        <v>-1</v>
      </c>
      <c r="E10" s="31">
        <v>84.23</v>
      </c>
      <c r="F10" s="29">
        <f t="shared" si="1"/>
        <v>12.3</v>
      </c>
      <c r="K10" s="4"/>
    </row>
    <row r="11" spans="1:11" ht="15" customHeight="1">
      <c r="A11" s="112"/>
      <c r="B11" s="130"/>
      <c r="C11" s="31">
        <v>0.56799999999999995</v>
      </c>
      <c r="D11" s="29">
        <f t="shared" si="0"/>
        <v>-5.3</v>
      </c>
      <c r="E11" s="31">
        <v>80.748999999999995</v>
      </c>
      <c r="F11" s="29">
        <f t="shared" si="1"/>
        <v>7.7</v>
      </c>
      <c r="K11" s="4"/>
    </row>
    <row r="12" spans="1:11" ht="15" customHeight="1">
      <c r="A12" s="112"/>
      <c r="B12" s="130"/>
      <c r="C12" s="31">
        <v>0.65900000000000003</v>
      </c>
      <c r="D12" s="29">
        <f t="shared" si="0"/>
        <v>9.8000000000000007</v>
      </c>
      <c r="E12" s="31">
        <v>88.216999999999999</v>
      </c>
      <c r="F12" s="29">
        <f t="shared" si="1"/>
        <v>17.600000000000001</v>
      </c>
      <c r="K12" s="4"/>
    </row>
    <row r="13" spans="1:11" ht="15" customHeight="1">
      <c r="A13" s="112"/>
      <c r="B13" s="130"/>
      <c r="C13" s="31">
        <v>0.63500000000000001</v>
      </c>
      <c r="D13" s="29">
        <f t="shared" si="0"/>
        <v>5.8</v>
      </c>
      <c r="E13" s="31">
        <v>90.382000000000005</v>
      </c>
      <c r="F13" s="29">
        <f t="shared" si="1"/>
        <v>20.5</v>
      </c>
      <c r="K13" s="4"/>
    </row>
    <row r="14" spans="1:11" ht="15" customHeight="1">
      <c r="A14" s="112"/>
      <c r="B14" s="101"/>
      <c r="C14" s="31">
        <v>0.65400000000000003</v>
      </c>
      <c r="D14" s="29">
        <f t="shared" si="0"/>
        <v>9</v>
      </c>
      <c r="E14" s="31">
        <v>84.138000000000005</v>
      </c>
      <c r="F14" s="29">
        <f t="shared" si="1"/>
        <v>12.2</v>
      </c>
      <c r="K14" s="4"/>
    </row>
    <row r="15" spans="1:11" ht="15" customHeight="1">
      <c r="A15" s="13" t="s">
        <v>26</v>
      </c>
      <c r="B15" s="107"/>
      <c r="C15" s="3">
        <f>ROUND(AVERAGE(C9:C14),3)</f>
        <v>0.61599999999999999</v>
      </c>
      <c r="D15" s="107"/>
      <c r="E15" s="3">
        <f>ROUND(AVERAGE(E9:E14),3)</f>
        <v>85.718999999999994</v>
      </c>
      <c r="F15" s="107"/>
      <c r="K15" s="4"/>
    </row>
    <row r="16" spans="1:11" ht="15" customHeight="1">
      <c r="A16" s="13" t="s">
        <v>4</v>
      </c>
      <c r="B16" s="108"/>
      <c r="C16" s="13">
        <f>ROUND(STDEV(C9:C14),3)</f>
        <v>3.7999999999999999E-2</v>
      </c>
      <c r="D16" s="108"/>
      <c r="E16" s="13">
        <f>ROUND(STDEV(E9:E14),3)</f>
        <v>3.411</v>
      </c>
      <c r="F16" s="108"/>
      <c r="K16" s="4"/>
    </row>
    <row r="17" spans="1:23" ht="15" customHeight="1">
      <c r="A17" s="13" t="s">
        <v>267</v>
      </c>
      <c r="B17" s="108"/>
      <c r="C17" s="13">
        <f>ROUND(C16/C15*100,1)</f>
        <v>6.2</v>
      </c>
      <c r="D17" s="108"/>
      <c r="E17" s="29">
        <f>ROUND(E16/E15*100,1)</f>
        <v>4</v>
      </c>
      <c r="F17" s="108"/>
      <c r="H17" s="9"/>
      <c r="K17" s="4"/>
    </row>
    <row r="18" spans="1:23" ht="15" customHeight="1">
      <c r="A18" s="13" t="s">
        <v>268</v>
      </c>
      <c r="B18" s="108"/>
      <c r="C18" s="29">
        <f>ROUND(C15/C$7*100,1)</f>
        <v>102.7</v>
      </c>
      <c r="D18" s="108"/>
      <c r="E18" s="29">
        <f>ROUND(E15/E$7*100,1)</f>
        <v>114.3</v>
      </c>
      <c r="F18" s="108"/>
      <c r="K18" s="4"/>
    </row>
    <row r="19" spans="1:23" ht="15" customHeight="1">
      <c r="A19" s="13" t="s">
        <v>6</v>
      </c>
      <c r="B19" s="109"/>
      <c r="C19" s="13">
        <v>6</v>
      </c>
      <c r="D19" s="109"/>
      <c r="E19" s="13">
        <v>6</v>
      </c>
      <c r="F19" s="109"/>
      <c r="K19" s="4"/>
    </row>
    <row r="20" spans="1:23" ht="15" customHeight="1">
      <c r="E20" s="63"/>
      <c r="F20" s="63"/>
    </row>
    <row r="21" spans="1:23">
      <c r="A21" s="8"/>
      <c r="B21" s="8"/>
      <c r="C21" s="8"/>
      <c r="D21" s="8"/>
      <c r="E21" s="8"/>
      <c r="M21" s="85" t="s">
        <v>364</v>
      </c>
    </row>
    <row r="22" spans="1:23">
      <c r="A22" s="4" t="s">
        <v>269</v>
      </c>
      <c r="M22" s="4" t="s">
        <v>269</v>
      </c>
      <c r="V22" s="56"/>
      <c r="W22" s="54"/>
    </row>
    <row r="23" spans="1:23">
      <c r="A23" s="4" t="s">
        <v>144</v>
      </c>
      <c r="B23" s="5"/>
      <c r="C23" s="5"/>
      <c r="D23" s="5"/>
      <c r="E23" s="5"/>
      <c r="H23" s="6"/>
      <c r="J23" s="42" t="s">
        <v>56</v>
      </c>
      <c r="K23" s="61">
        <v>45531</v>
      </c>
      <c r="M23" s="4" t="s">
        <v>270</v>
      </c>
      <c r="N23" s="5"/>
      <c r="O23" s="5"/>
      <c r="P23" s="5"/>
      <c r="Q23" s="5"/>
      <c r="T23" s="6"/>
      <c r="V23" s="42" t="s">
        <v>56</v>
      </c>
      <c r="W23" s="61">
        <v>45531</v>
      </c>
    </row>
    <row r="24" spans="1:23" ht="14.1" customHeight="1">
      <c r="A24" s="127" t="s">
        <v>50</v>
      </c>
      <c r="B24" s="100" t="s">
        <v>22</v>
      </c>
      <c r="C24" s="100" t="s">
        <v>45</v>
      </c>
      <c r="D24" s="131" t="s">
        <v>109</v>
      </c>
      <c r="E24" s="131"/>
      <c r="F24" s="131"/>
      <c r="G24" s="131"/>
      <c r="H24" s="6"/>
      <c r="J24" s="42" t="s">
        <v>57</v>
      </c>
      <c r="K24" s="61">
        <v>45609</v>
      </c>
      <c r="M24" s="127" t="s">
        <v>50</v>
      </c>
      <c r="N24" s="100" t="s">
        <v>22</v>
      </c>
      <c r="O24" s="100" t="s">
        <v>45</v>
      </c>
      <c r="P24" s="131" t="s">
        <v>109</v>
      </c>
      <c r="Q24" s="131"/>
      <c r="R24" s="131"/>
      <c r="S24" s="131"/>
      <c r="T24" s="6"/>
      <c r="V24" s="42" t="s">
        <v>57</v>
      </c>
      <c r="W24" s="61">
        <v>45595</v>
      </c>
    </row>
    <row r="25" spans="1:23" ht="14.1" customHeight="1">
      <c r="A25" s="128"/>
      <c r="B25" s="130"/>
      <c r="C25" s="130"/>
      <c r="D25" s="46" t="s">
        <v>107</v>
      </c>
      <c r="E25" s="3" t="s">
        <v>110</v>
      </c>
      <c r="F25" s="46" t="s">
        <v>108</v>
      </c>
      <c r="G25" s="3" t="s">
        <v>111</v>
      </c>
      <c r="H25" s="6"/>
      <c r="J25" s="42" t="s">
        <v>58</v>
      </c>
      <c r="K25" s="58">
        <f>K24-K23</f>
        <v>78</v>
      </c>
      <c r="M25" s="128"/>
      <c r="N25" s="130"/>
      <c r="O25" s="130"/>
      <c r="P25" s="46" t="s">
        <v>107</v>
      </c>
      <c r="Q25" s="3" t="s">
        <v>110</v>
      </c>
      <c r="R25" s="46" t="s">
        <v>108</v>
      </c>
      <c r="S25" s="3" t="s">
        <v>111</v>
      </c>
      <c r="T25" s="6"/>
      <c r="V25" s="42" t="s">
        <v>58</v>
      </c>
      <c r="W25" s="58">
        <f>W24-W23</f>
        <v>64</v>
      </c>
    </row>
    <row r="26" spans="1:23" ht="15" customHeight="1">
      <c r="A26" s="128"/>
      <c r="B26" s="130"/>
      <c r="C26" s="130"/>
      <c r="D26" s="101" t="s">
        <v>271</v>
      </c>
      <c r="E26" s="132"/>
      <c r="F26" s="96" t="s">
        <v>271</v>
      </c>
      <c r="G26" s="96"/>
      <c r="M26" s="128"/>
      <c r="N26" s="130"/>
      <c r="O26" s="130"/>
      <c r="P26" s="101" t="s">
        <v>271</v>
      </c>
      <c r="Q26" s="132"/>
      <c r="R26" s="96" t="s">
        <v>271</v>
      </c>
      <c r="S26" s="96"/>
      <c r="V26" s="56"/>
      <c r="W26" s="54"/>
    </row>
    <row r="27" spans="1:23" ht="15" customHeight="1">
      <c r="A27" s="129"/>
      <c r="B27" s="101"/>
      <c r="C27" s="101"/>
      <c r="D27" s="13" t="s">
        <v>49</v>
      </c>
      <c r="E27" s="13" t="s">
        <v>46</v>
      </c>
      <c r="F27" s="13" t="s">
        <v>49</v>
      </c>
      <c r="G27" s="13" t="s">
        <v>46</v>
      </c>
      <c r="M27" s="129"/>
      <c r="N27" s="101"/>
      <c r="O27" s="101"/>
      <c r="P27" s="13" t="s">
        <v>49</v>
      </c>
      <c r="Q27" s="13" t="s">
        <v>46</v>
      </c>
      <c r="R27" s="13" t="s">
        <v>49</v>
      </c>
      <c r="S27" s="13" t="s">
        <v>46</v>
      </c>
      <c r="V27" s="56"/>
      <c r="W27" s="54"/>
    </row>
    <row r="28" spans="1:23" ht="15" customHeight="1">
      <c r="A28" s="125" t="s">
        <v>145</v>
      </c>
      <c r="B28" s="133" t="s">
        <v>146</v>
      </c>
      <c r="C28" s="13">
        <v>1</v>
      </c>
      <c r="D28" s="16">
        <v>4.0259999999999998</v>
      </c>
      <c r="E28" s="64">
        <v>4.1180000000000003</v>
      </c>
      <c r="F28" s="64">
        <v>78.076999999999998</v>
      </c>
      <c r="G28" s="64">
        <v>75.796000000000006</v>
      </c>
      <c r="M28" s="125" t="s">
        <v>141</v>
      </c>
      <c r="N28" s="133" t="s">
        <v>143</v>
      </c>
      <c r="O28" s="13">
        <v>1</v>
      </c>
      <c r="P28" s="16">
        <v>5.1920000000000002</v>
      </c>
      <c r="Q28" s="64">
        <v>4.1180000000000003</v>
      </c>
      <c r="R28" s="64">
        <v>93.046000000000006</v>
      </c>
      <c r="S28" s="64">
        <v>75.796000000000006</v>
      </c>
      <c r="V28" s="56"/>
      <c r="W28" s="54"/>
    </row>
    <row r="29" spans="1:23" ht="15" customHeight="1">
      <c r="A29" s="126"/>
      <c r="B29" s="130"/>
      <c r="C29" s="13">
        <v>2</v>
      </c>
      <c r="D29" s="16">
        <v>4.0190000000000001</v>
      </c>
      <c r="E29" s="64">
        <v>4.4089999999999998</v>
      </c>
      <c r="F29" s="64">
        <v>79.033000000000001</v>
      </c>
      <c r="G29" s="64">
        <v>76.049000000000007</v>
      </c>
      <c r="M29" s="126"/>
      <c r="N29" s="130"/>
      <c r="O29" s="13">
        <v>2</v>
      </c>
      <c r="P29" s="16">
        <v>5.0149999999999997</v>
      </c>
      <c r="Q29" s="64">
        <v>4.4089999999999998</v>
      </c>
      <c r="R29" s="64" t="s">
        <v>142</v>
      </c>
      <c r="S29" s="64">
        <v>76.049000000000007</v>
      </c>
      <c r="V29" s="56"/>
      <c r="W29" s="54"/>
    </row>
    <row r="30" spans="1:23" ht="15" customHeight="1">
      <c r="A30" s="126"/>
      <c r="B30" s="130"/>
      <c r="C30" s="13">
        <v>3</v>
      </c>
      <c r="D30" s="16">
        <v>4.1609999999999996</v>
      </c>
      <c r="E30" s="64">
        <v>4.4240000000000004</v>
      </c>
      <c r="F30" s="64">
        <v>73.375</v>
      </c>
      <c r="G30" s="64">
        <v>76.188999999999993</v>
      </c>
      <c r="M30" s="126"/>
      <c r="N30" s="130"/>
      <c r="O30" s="13">
        <v>3</v>
      </c>
      <c r="P30" s="16">
        <v>5.4080000000000004</v>
      </c>
      <c r="Q30" s="64">
        <v>4.4240000000000004</v>
      </c>
      <c r="R30" s="64" t="s">
        <v>142</v>
      </c>
      <c r="S30" s="64">
        <v>76.188999999999993</v>
      </c>
      <c r="V30" s="56"/>
      <c r="W30" s="54"/>
    </row>
    <row r="31" spans="1:23" ht="15" customHeight="1">
      <c r="A31" s="126"/>
      <c r="B31" s="130"/>
      <c r="C31" s="13">
        <v>4</v>
      </c>
      <c r="D31" s="16">
        <v>3.855</v>
      </c>
      <c r="E31" s="64">
        <v>4.0960000000000001</v>
      </c>
      <c r="F31" s="64">
        <v>78.150000000000006</v>
      </c>
      <c r="G31" s="64">
        <v>74.944000000000003</v>
      </c>
      <c r="M31" s="126"/>
      <c r="N31" s="130"/>
      <c r="O31" s="13">
        <v>4</v>
      </c>
      <c r="P31" s="16">
        <v>5.2370000000000001</v>
      </c>
      <c r="Q31" s="64">
        <v>4.0960000000000001</v>
      </c>
      <c r="R31" s="64" t="s">
        <v>142</v>
      </c>
      <c r="S31" s="64">
        <v>74.944000000000003</v>
      </c>
      <c r="V31" s="56"/>
      <c r="W31" s="54"/>
    </row>
    <row r="32" spans="1:23" ht="15" customHeight="1">
      <c r="A32" s="126"/>
      <c r="B32" s="130"/>
      <c r="C32" s="13">
        <v>5</v>
      </c>
      <c r="D32" s="16">
        <v>4.0789999999999997</v>
      </c>
      <c r="E32" s="64">
        <v>4.5910000000000002</v>
      </c>
      <c r="F32" s="64">
        <v>78.572999999999993</v>
      </c>
      <c r="G32" s="64">
        <v>73.242999999999995</v>
      </c>
      <c r="M32" s="126"/>
      <c r="N32" s="130"/>
      <c r="O32" s="13">
        <v>5</v>
      </c>
      <c r="P32" s="16">
        <v>4.9669999999999996</v>
      </c>
      <c r="Q32" s="64">
        <v>4.5910000000000002</v>
      </c>
      <c r="R32" s="64">
        <v>94.715999999999994</v>
      </c>
      <c r="S32" s="64">
        <v>73.242999999999995</v>
      </c>
      <c r="V32" s="56"/>
      <c r="W32" s="54"/>
    </row>
    <row r="33" spans="1:23" ht="15" customHeight="1">
      <c r="A33" s="126"/>
      <c r="B33" s="130"/>
      <c r="C33" s="36">
        <v>6</v>
      </c>
      <c r="D33" s="16">
        <v>3.6549999999999998</v>
      </c>
      <c r="E33" s="64">
        <v>4.2519999999999998</v>
      </c>
      <c r="F33" s="64">
        <v>78.825000000000003</v>
      </c>
      <c r="G33" s="64">
        <v>78.757999999999996</v>
      </c>
      <c r="M33" s="126"/>
      <c r="N33" s="130"/>
      <c r="O33" s="36">
        <v>6</v>
      </c>
      <c r="P33" s="16">
        <v>5.3310000000000004</v>
      </c>
      <c r="Q33" s="64">
        <v>4.2519999999999998</v>
      </c>
      <c r="R33" s="64" t="s">
        <v>142</v>
      </c>
      <c r="S33" s="64">
        <v>78.757999999999996</v>
      </c>
      <c r="V33" s="56"/>
      <c r="W33" s="54"/>
    </row>
    <row r="34" spans="1:23" ht="15" customHeight="1">
      <c r="A34" s="13" t="s">
        <v>26</v>
      </c>
      <c r="B34" s="134"/>
      <c r="C34" s="135"/>
      <c r="D34" s="3">
        <f>ROUND(AVERAGE(D28:D33),3)</f>
        <v>3.9660000000000002</v>
      </c>
      <c r="E34" s="3">
        <f t="shared" ref="E34:G34" si="2">ROUND(AVERAGE(E28:E33),3)</f>
        <v>4.3150000000000004</v>
      </c>
      <c r="F34" s="3">
        <f t="shared" si="2"/>
        <v>77.671999999999997</v>
      </c>
      <c r="G34" s="3">
        <f t="shared" si="2"/>
        <v>75.83</v>
      </c>
      <c r="M34" s="13" t="s">
        <v>26</v>
      </c>
      <c r="N34" s="134"/>
      <c r="O34" s="135"/>
      <c r="P34" s="3">
        <f>ROUND(AVERAGE(P28:P33),3)</f>
        <v>5.1920000000000002</v>
      </c>
      <c r="Q34" s="3">
        <f t="shared" ref="Q34:S34" si="3">ROUND(AVERAGE(Q28:Q33),3)</f>
        <v>4.3150000000000004</v>
      </c>
      <c r="R34" s="3">
        <f t="shared" si="3"/>
        <v>93.881</v>
      </c>
      <c r="S34" s="3">
        <f t="shared" si="3"/>
        <v>75.83</v>
      </c>
      <c r="V34" s="56"/>
      <c r="W34" s="54"/>
    </row>
    <row r="35" spans="1:23" ht="15" customHeight="1">
      <c r="A35" s="13" t="s">
        <v>4</v>
      </c>
      <c r="B35" s="136"/>
      <c r="C35" s="137"/>
      <c r="D35" s="3">
        <f>ROUND(STDEV(D28:D33),3)</f>
        <v>0.182</v>
      </c>
      <c r="E35" s="3">
        <f t="shared" ref="E35:G35" si="4">ROUND(STDEV(E28:E33),3)</f>
        <v>0.19400000000000001</v>
      </c>
      <c r="F35" s="3">
        <f t="shared" si="4"/>
        <v>2.1379999999999999</v>
      </c>
      <c r="G35" s="3">
        <f t="shared" si="4"/>
        <v>1.802</v>
      </c>
      <c r="H35" s="9"/>
      <c r="M35" s="13" t="s">
        <v>4</v>
      </c>
      <c r="N35" s="136"/>
      <c r="O35" s="137"/>
      <c r="P35" s="3">
        <f>ROUND(STDEV(P28:P33),3)</f>
        <v>0.17299999999999999</v>
      </c>
      <c r="Q35" s="3">
        <f t="shared" ref="Q35:S35" si="5">ROUND(STDEV(Q28:Q33),3)</f>
        <v>0.19400000000000001</v>
      </c>
      <c r="R35" s="3">
        <f t="shared" si="5"/>
        <v>1.181</v>
      </c>
      <c r="S35" s="3">
        <f t="shared" si="5"/>
        <v>1.802</v>
      </c>
      <c r="T35" s="9"/>
      <c r="V35" s="56"/>
      <c r="W35" s="54"/>
    </row>
    <row r="36" spans="1:23" ht="15" customHeight="1">
      <c r="A36" s="13" t="s">
        <v>267</v>
      </c>
      <c r="B36" s="136"/>
      <c r="C36" s="137"/>
      <c r="D36" s="65">
        <f>ROUND(D35/D34*100,1)</f>
        <v>4.5999999999999996</v>
      </c>
      <c r="E36" s="65">
        <f>ROUND(E35/E34*100,1)</f>
        <v>4.5</v>
      </c>
      <c r="F36" s="65">
        <f>ROUND(F35/F34*100,1)</f>
        <v>2.8</v>
      </c>
      <c r="G36" s="65">
        <f>ROUND(G35/G34*100,1)</f>
        <v>2.4</v>
      </c>
      <c r="M36" s="13" t="s">
        <v>267</v>
      </c>
      <c r="N36" s="136"/>
      <c r="O36" s="137"/>
      <c r="P36" s="65">
        <f>ROUND(P35/P34*100,1)</f>
        <v>3.3</v>
      </c>
      <c r="Q36" s="65">
        <f>ROUND(Q35/Q34*100,1)</f>
        <v>4.5</v>
      </c>
      <c r="R36" s="65">
        <f>ROUND(R35/R34*100,1)</f>
        <v>1.3</v>
      </c>
      <c r="S36" s="65">
        <f>ROUND(S35/S34*100,1)</f>
        <v>2.4</v>
      </c>
      <c r="V36" s="56"/>
      <c r="W36" s="54"/>
    </row>
    <row r="37" spans="1:23" ht="15" customHeight="1">
      <c r="A37" s="13" t="s">
        <v>272</v>
      </c>
      <c r="B37" s="138"/>
      <c r="C37" s="139"/>
      <c r="D37" s="140">
        <f>ROUND((D34-E34)/E34*100,1)</f>
        <v>-8.1</v>
      </c>
      <c r="E37" s="140"/>
      <c r="F37" s="141">
        <f>ROUND((F34-G34)/G34*100,1)</f>
        <v>2.4</v>
      </c>
      <c r="G37" s="141"/>
      <c r="M37" s="13" t="s">
        <v>272</v>
      </c>
      <c r="N37" s="138"/>
      <c r="O37" s="139"/>
      <c r="P37" s="140">
        <f>ROUND((P34-Q34)/Q34*100,1)</f>
        <v>20.3</v>
      </c>
      <c r="Q37" s="140"/>
      <c r="R37" s="141">
        <f>ROUND((R34-S34)/S34*100,1)</f>
        <v>23.8</v>
      </c>
      <c r="S37" s="141"/>
      <c r="V37" s="56"/>
      <c r="W37" s="54"/>
    </row>
    <row r="38" spans="1:23">
      <c r="A38" s="8"/>
      <c r="B38" s="8"/>
      <c r="C38" s="8"/>
      <c r="D38" s="8"/>
      <c r="E38" s="8"/>
    </row>
  </sheetData>
  <mergeCells count="31">
    <mergeCell ref="N28:N33"/>
    <mergeCell ref="N34:O37"/>
    <mergeCell ref="P37:Q37"/>
    <mergeCell ref="R37:S37"/>
    <mergeCell ref="N24:N27"/>
    <mergeCell ref="O24:O27"/>
    <mergeCell ref="P24:S24"/>
    <mergeCell ref="P26:Q26"/>
    <mergeCell ref="R26:S26"/>
    <mergeCell ref="B34:C37"/>
    <mergeCell ref="D37:E37"/>
    <mergeCell ref="F37:G37"/>
    <mergeCell ref="M24:M27"/>
    <mergeCell ref="M28:M33"/>
    <mergeCell ref="A6:A8"/>
    <mergeCell ref="B6:B8"/>
    <mergeCell ref="D6:D8"/>
    <mergeCell ref="F6:F8"/>
    <mergeCell ref="B15:B19"/>
    <mergeCell ref="A9:A14"/>
    <mergeCell ref="B9:B14"/>
    <mergeCell ref="D15:D19"/>
    <mergeCell ref="F15:F19"/>
    <mergeCell ref="A28:A33"/>
    <mergeCell ref="A24:A27"/>
    <mergeCell ref="B24:B27"/>
    <mergeCell ref="C24:C27"/>
    <mergeCell ref="D24:G24"/>
    <mergeCell ref="D26:E26"/>
    <mergeCell ref="F26:G26"/>
    <mergeCell ref="B28:B33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33" orientation="portrait" r:id="rId1"/>
  <headerFooter>
    <oddHeader>&amp;C 1632MV7生物分析方法学验证数据</oddHeader>
    <oddFooter>&amp;C第&amp;P页，共&amp;N页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3:C3"/>
  <sheetViews>
    <sheetView workbookViewId="0">
      <selection activeCell="G23" sqref="G23"/>
    </sheetView>
  </sheetViews>
  <sheetFormatPr defaultColWidth="9" defaultRowHeight="13.5"/>
  <cols>
    <col min="1" max="1" width="22.5" style="1" customWidth="1"/>
    <col min="2" max="16384" width="9" style="1"/>
  </cols>
  <sheetData>
    <row r="3" spans="1:3">
      <c r="A3" s="1" t="s">
        <v>343</v>
      </c>
      <c r="B3" s="1" t="s">
        <v>80</v>
      </c>
      <c r="C3" s="1" t="s">
        <v>81</v>
      </c>
    </row>
  </sheetData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6</vt:i4>
      </vt:variant>
    </vt:vector>
  </HeadingPairs>
  <TitlesOfParts>
    <vt:vector size="24" baseType="lpstr">
      <vt:lpstr>1.1</vt:lpstr>
      <vt:lpstr>2.1标准品</vt:lpstr>
      <vt:lpstr>2.2内标</vt:lpstr>
      <vt:lpstr>2.5试剂</vt:lpstr>
      <vt:lpstr>2.6 空白基质</vt:lpstr>
      <vt:lpstr>2.9标准曲线质控样品配制</vt:lpstr>
      <vt:lpstr>表1_schedule</vt:lpstr>
      <vt:lpstr>表2_SST</vt:lpstr>
      <vt:lpstr>表3_CO</vt:lpstr>
      <vt:lpstr>表7_Regression</vt:lpstr>
      <vt:lpstr>表8_curve</vt:lpstr>
      <vt:lpstr>表10 QC (除准确度精密度分析批）</vt:lpstr>
      <vt:lpstr>表14_stock ST</vt:lpstr>
      <vt:lpstr>表15_spike ST</vt:lpstr>
      <vt:lpstr>表16_stock LT</vt:lpstr>
      <vt:lpstr>表17_spike LT</vt:lpstr>
      <vt:lpstr>表21_LTS</vt:lpstr>
      <vt:lpstr>分析天平</vt:lpstr>
      <vt:lpstr>'2.9标准曲线质控样品配制'!Print_Area</vt:lpstr>
      <vt:lpstr>表1_schedule!Print_Area</vt:lpstr>
      <vt:lpstr>'表16_stock LT'!Print_Area</vt:lpstr>
      <vt:lpstr>表2_SST!Print_Area</vt:lpstr>
      <vt:lpstr>表7_Regression!Print_Area</vt:lpstr>
      <vt:lpstr>表8_curve!Print_Area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lguo</cp:lastModifiedBy>
  <cp:lastPrinted>2019-09-17T03:14:27Z</cp:lastPrinted>
  <dcterms:created xsi:type="dcterms:W3CDTF">2016-03-17T02:40:20Z</dcterms:created>
  <dcterms:modified xsi:type="dcterms:W3CDTF">2024-11-28T00:42:29Z</dcterms:modified>
</cp:coreProperties>
</file>